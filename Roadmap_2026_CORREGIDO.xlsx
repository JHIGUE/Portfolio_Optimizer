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ierHiguera\Desktop\Portfolio_Optimizer\"/>
    </mc:Choice>
  </mc:AlternateContent>
  <xr:revisionPtr revIDLastSave="0" documentId="13_ncr:1_{F7683506-8CB7-4BE4-98FC-DB49669A861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Input_prompt" sheetId="11" r:id="rId1"/>
    <sheet name="Output_prompt" sheetId="12" r:id="rId2"/>
    <sheet name="0_GLOSARIO_Completo" sheetId="1" r:id="rId3"/>
    <sheet name="1_Panel_Control" sheetId="2" r:id="rId4"/>
    <sheet name="2_Matriz_Empresarial" sheetId="3" r:id="rId5"/>
    <sheet name="3_Inversion_IA_Practica" sheetId="4" r:id="rId6"/>
    <sheet name="4_Actividades_Priorizadas_old" sheetId="5" r:id="rId7"/>
    <sheet name="4_Actividades_Priorizadas" sheetId="10" r:id="rId8"/>
    <sheet name="5_Plan_Optimo_Knapsack" sheetId="6" r:id="rId9"/>
    <sheet name="6_Ejecucion_Temporal" sheetId="7" r:id="rId10"/>
    <sheet name="7_Scatter_Priorizacion" sheetId="8" r:id="rId11"/>
    <sheet name="8_Timeline_Doc1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D2" i="11"/>
  <c r="E2" i="11"/>
  <c r="F2" i="11"/>
  <c r="D3" i="11"/>
  <c r="E3" i="11"/>
  <c r="F3" i="11"/>
  <c r="D4" i="11"/>
  <c r="E4" i="11"/>
  <c r="F4" i="11"/>
  <c r="D5" i="11"/>
  <c r="E5" i="11"/>
  <c r="F5" i="11"/>
  <c r="D6" i="11"/>
  <c r="E6" i="11"/>
  <c r="F6" i="11"/>
  <c r="D7" i="11"/>
  <c r="E7" i="11"/>
  <c r="F7" i="11"/>
  <c r="D8" i="11"/>
  <c r="E8" i="11"/>
  <c r="F8" i="11"/>
  <c r="D9" i="11"/>
  <c r="E9" i="11"/>
  <c r="F9" i="11"/>
  <c r="D10" i="11"/>
  <c r="E10" i="11"/>
  <c r="F10" i="11"/>
  <c r="D11" i="11"/>
  <c r="E11" i="11"/>
  <c r="F11" i="11"/>
  <c r="D12" i="11"/>
  <c r="E12" i="11"/>
  <c r="F12" i="11"/>
  <c r="D13" i="11"/>
  <c r="E13" i="11"/>
  <c r="F13" i="11"/>
  <c r="D14" i="11"/>
  <c r="E14" i="11"/>
  <c r="F14" i="11"/>
  <c r="D15" i="11"/>
  <c r="E15" i="11"/>
  <c r="F15" i="11"/>
  <c r="D16" i="11"/>
  <c r="E16" i="11"/>
  <c r="F16" i="11"/>
  <c r="D17" i="11"/>
  <c r="E17" i="11"/>
  <c r="F17" i="11"/>
  <c r="D18" i="11"/>
  <c r="E18" i="11"/>
  <c r="F18" i="11"/>
  <c r="D19" i="11"/>
  <c r="E19" i="11"/>
  <c r="F19" i="11"/>
  <c r="E1" i="11"/>
  <c r="F1" i="11"/>
  <c r="D1" i="11"/>
  <c r="A19" i="11"/>
  <c r="B19" i="11"/>
  <c r="A3" i="11"/>
  <c r="B3" i="11"/>
  <c r="A4" i="11"/>
  <c r="B4" i="11"/>
  <c r="A5" i="11"/>
  <c r="B5" i="11"/>
  <c r="A6" i="11"/>
  <c r="B6" i="11"/>
  <c r="A7" i="11"/>
  <c r="B7" i="11"/>
  <c r="A8" i="11"/>
  <c r="B8" i="11"/>
  <c r="A9" i="11"/>
  <c r="B9" i="11"/>
  <c r="A10" i="11"/>
  <c r="B10" i="11"/>
  <c r="A11" i="11"/>
  <c r="B11" i="11"/>
  <c r="A12" i="11"/>
  <c r="B12" i="11"/>
  <c r="A13" i="11"/>
  <c r="B13" i="11"/>
  <c r="A14" i="11"/>
  <c r="B14" i="11"/>
  <c r="A15" i="11"/>
  <c r="B15" i="11"/>
  <c r="A16" i="11"/>
  <c r="B16" i="11"/>
  <c r="A17" i="11"/>
  <c r="B17" i="11"/>
  <c r="A18" i="11"/>
  <c r="B18" i="11"/>
  <c r="B2" i="11"/>
  <c r="A2" i="11"/>
  <c r="B21" i="2"/>
  <c r="B22" i="2"/>
  <c r="B23" i="2"/>
  <c r="B10" i="2"/>
  <c r="B11" i="2"/>
  <c r="E10" i="2"/>
  <c r="E11" i="2"/>
  <c r="E9" i="2"/>
  <c r="B18" i="7"/>
  <c r="G12" i="6"/>
  <c r="G13" i="6" s="1"/>
  <c r="G14" i="6" s="1"/>
  <c r="G15" i="6" s="1"/>
  <c r="G16" i="6" s="1"/>
  <c r="G17" i="6" s="1"/>
  <c r="G18" i="6" s="1"/>
  <c r="F12" i="6"/>
  <c r="E5" i="6"/>
  <c r="B29" i="2"/>
  <c r="F13" i="6" l="1"/>
  <c r="B17" i="7"/>
  <c r="B8" i="8"/>
  <c r="B7" i="8"/>
  <c r="B9" i="8"/>
  <c r="B14" i="8" l="1"/>
  <c r="B13" i="8"/>
  <c r="B5" i="6"/>
  <c r="H12" i="6" s="1"/>
  <c r="I12" i="6" s="1"/>
  <c r="E21" i="2"/>
  <c r="E29" i="2" s="1"/>
  <c r="B12" i="8"/>
  <c r="B11" i="8"/>
  <c r="B10" i="8"/>
  <c r="B6" i="8"/>
  <c r="H13" i="6"/>
  <c r="I13" i="6" s="1"/>
  <c r="F14" i="6"/>
  <c r="H14" i="6" l="1"/>
  <c r="I14" i="6" s="1"/>
  <c r="F15" i="6"/>
  <c r="H15" i="6" l="1"/>
  <c r="I15" i="6" s="1"/>
  <c r="F16" i="6"/>
  <c r="H16" i="6" l="1"/>
  <c r="I16" i="6" s="1"/>
  <c r="F17" i="6"/>
  <c r="H17" i="6" l="1"/>
  <c r="I17" i="6" s="1"/>
  <c r="F18" i="6"/>
  <c r="H18" i="6" s="1"/>
  <c r="I18" i="6" s="1"/>
</calcChain>
</file>

<file path=xl/sharedStrings.xml><?xml version="1.0" encoding="utf-8"?>
<sst xmlns="http://schemas.openxmlformats.org/spreadsheetml/2006/main" count="585" uniqueCount="420">
  <si>
    <t>📚 GLOSARIO COMPLETO: Fórmulas, Inputs y Funcionalidad</t>
  </si>
  <si>
    <t>🗂️ PROPÓSITO DE CADA PESTAÑA</t>
  </si>
  <si>
    <t>Pestaña</t>
  </si>
  <si>
    <t>Propósito</t>
  </si>
  <si>
    <t>Qué hace</t>
  </si>
  <si>
    <t>0_GLOSARIO</t>
  </si>
  <si>
    <t>Documentación completa</t>
  </si>
  <si>
    <t>Explica fórmulas, inputs, cómo usar herramienta</t>
  </si>
  <si>
    <t>1_Panel_Control</t>
  </si>
  <si>
    <t>Inputs centralizados</t>
  </si>
  <si>
    <t>Configuras restricciones, afecta pestañas 4-8</t>
  </si>
  <si>
    <t>2_Matriz_Empresarial</t>
  </si>
  <si>
    <t>Análisis sectores</t>
  </si>
  <si>
    <t>9 áreas de negocio + tu skill match por sector</t>
  </si>
  <si>
    <t>3_Inversion_IA</t>
  </si>
  <si>
    <t>Guía práctica</t>
  </si>
  <si>
    <t>Decision tree + entornos práctica €0-50</t>
  </si>
  <si>
    <t>4_Actividades_Datos</t>
  </si>
  <si>
    <t>Base de datos</t>
  </si>
  <si>
    <t>12 actividades con ROI, coste, horas + fórmulas vinculadas</t>
  </si>
  <si>
    <t>5_Plan_Optimo</t>
  </si>
  <si>
    <t>Optimización</t>
  </si>
  <si>
    <t>Tabla con línea de corte para ver qué cabe en restricciones</t>
  </si>
  <si>
    <t>6_Ejecucion_Temporal</t>
  </si>
  <si>
    <t>Milestones</t>
  </si>
  <si>
    <t>Hitos clave por semana (manual según priorización P4)</t>
  </si>
  <si>
    <t>7_Scatter_Priorizacion</t>
  </si>
  <si>
    <t>Visual decisión</t>
  </si>
  <si>
    <t>Gráfico ROI vs Coste con líneas restricción</t>
  </si>
  <si>
    <t>8_Timeline_Condensado</t>
  </si>
  <si>
    <t>Plan ejecutable</t>
  </si>
  <si>
    <t>Calendario semana a semana (Doc 1)</t>
  </si>
  <si>
    <t>⚙️ INPUTS PANEL CONTROL: Qué afecta cada uno</t>
  </si>
  <si>
    <t>Input (Pestaña 1)</t>
  </si>
  <si>
    <t>Celda</t>
  </si>
  <si>
    <t>Afecta a</t>
  </si>
  <si>
    <t>Cómo afecta</t>
  </si>
  <si>
    <t>Salario Bruto Anual</t>
  </si>
  <si>
    <t>B3</t>
  </si>
  <si>
    <t>P1:B5, P4:Col J</t>
  </si>
  <si>
    <t>Coste Hora NETO → Coste Total actividades</t>
  </si>
  <si>
    <t>Retención %</t>
  </si>
  <si>
    <t>B4</t>
  </si>
  <si>
    <t>Horas/día</t>
  </si>
  <si>
    <t>B7</t>
  </si>
  <si>
    <t>P1:B14, P5, P6</t>
  </si>
  <si>
    <t>Horas Disponibles → capacidad total short-term</t>
  </si>
  <si>
    <t>Días Short-term</t>
  </si>
  <si>
    <t>B8</t>
  </si>
  <si>
    <t>P1:B13-B14, P6</t>
  </si>
  <si>
    <t>Días Efectivos → semanas totales</t>
  </si>
  <si>
    <t>Replanificación</t>
  </si>
  <si>
    <t>B9</t>
  </si>
  <si>
    <t>P1:B13-B14, P5</t>
  </si>
  <si>
    <t>Días Efectivos +/- → más/menos capacidad</t>
  </si>
  <si>
    <t>Delays</t>
  </si>
  <si>
    <t>B10</t>
  </si>
  <si>
    <t>Días Efectivos - → penaliza capacidad</t>
  </si>
  <si>
    <t>Factor Urgencia</t>
  </si>
  <si>
    <t>B11</t>
  </si>
  <si>
    <t>P4:Col K</t>
  </si>
  <si>
    <t>Score Final × factor → cambia priorización</t>
  </si>
  <si>
    <t>Presupuesto Empresa</t>
  </si>
  <si>
    <t>B16</t>
  </si>
  <si>
    <t>P1:B18, P5</t>
  </si>
  <si>
    <t>Límite económico total</t>
  </si>
  <si>
    <t>Presupuesto Propio</t>
  </si>
  <si>
    <t>B17</t>
  </si>
  <si>
    <t>P1:B18, P5, P7</t>
  </si>
  <si>
    <t>Línea roja scatter, filtro VERDES</t>
  </si>
  <si>
    <t>🧮 FÓRMULAS CLAVE</t>
  </si>
  <si>
    <t>Elemento</t>
  </si>
  <si>
    <t>Fórmula Excel</t>
  </si>
  <si>
    <t>Coste Hora NETO</t>
  </si>
  <si>
    <t>P1:B8</t>
  </si>
  <si>
    <t>Días Efectivos</t>
  </si>
  <si>
    <t>P1:B18</t>
  </si>
  <si>
    <t>Horas Disponibles</t>
  </si>
  <si>
    <t>P1:B19</t>
  </si>
  <si>
    <t>Coste Total</t>
  </si>
  <si>
    <t>P4:Col I</t>
  </si>
  <si>
    <t>Score Final</t>
  </si>
  <si>
    <t>P4:Col J</t>
  </si>
  <si>
    <t>ROI Score (0-5)</t>
  </si>
  <si>
    <t>P4:Col E (dato)</t>
  </si>
  <si>
    <t>Skill Match %</t>
  </si>
  <si>
    <t>P2 (análisis)</t>
  </si>
  <si>
    <t>🤖 ALGORITMO PRIORIZACIÓN (Knapsack)</t>
  </si>
  <si>
    <t>PASO 1: Filtrar VERDES</t>
  </si>
  <si>
    <t>Solo actividades con Coste Directo ≤ Presupuesto Propio (600€)</t>
  </si>
  <si>
    <t>PASO 2: Calcular Score Final</t>
  </si>
  <si>
    <t>Score = ROI × Urgencia2026 × FactorUrgenciaGeneral (ver P4 col K)</t>
  </si>
  <si>
    <t>PASO 3: Ordenar descendente</t>
  </si>
  <si>
    <t>⚠️ MANUAL: En P4, ordenar col K de mayor a menor (Excel no puede auto-ordenar sin VBA)</t>
  </si>
  <si>
    <t>PASO 4: Aplicar Knapsack</t>
  </si>
  <si>
    <t>Ver P5: Tabla con línea de corte que indica hasta dónde llegas con restricciones</t>
  </si>
  <si>
    <t>🎯 CÓMO USAR ESTA HERRAMIENTA</t>
  </si>
  <si>
    <t>1. Configura restricciones en P1 (horas/día, presupuesto, replanificación)</t>
  </si>
  <si>
    <t>2. Revisa P4: columna K 'Score Final' recalcula automáticamente</t>
  </si>
  <si>
    <t>3. ORDENA P4 manualmente: Selecciona datos → Datos → Ordenar → Columna K descendente</t>
  </si>
  <si>
    <t>4. Ve P5: Línea de corte indica qué actividades caben en restricciones</t>
  </si>
  <si>
    <t>5. Ve P7: Scatter plot visual para decisión rápida</t>
  </si>
  <si>
    <t>6. Simula escenarios: Cambia inputs P1, observa impacto P4-P7</t>
  </si>
  <si>
    <t>⚠️ LIMITACIONES SIN VBA</t>
  </si>
  <si>
    <t>❌ Excel con solo fórmulas NO PUEDE:</t>
  </si>
  <si>
    <t>• Reordenar filas automáticamente cuando cambias inputs</t>
  </si>
  <si>
    <t>• Mover línea de corte dinámicamente en tabla</t>
  </si>
  <si>
    <t>• Reorganizar milestones P6 según nueva priorización</t>
  </si>
  <si>
    <t>✅ Para automatizar completamente NECESITAS:</t>
  </si>
  <si>
    <t>• VBA (macros) - botón 'Reordenar' que ejecuta macro</t>
  </si>
  <si>
    <t>• O usar Power Query / Power Pivot</t>
  </si>
  <si>
    <t>• O plataforma web (Streamlit, etc.)</t>
  </si>
  <si>
    <t>ROADMAP 2026 - Panel Control Centralizado</t>
  </si>
  <si>
    <t>💰 CONFIGURACIÓN ECONÓMICA</t>
  </si>
  <si>
    <t>Salario Bruto Anual (€)</t>
  </si>
  <si>
    <t>Retención efectiva (%)</t>
  </si>
  <si>
    <t>Coste Hora NETO (€/h)</t>
  </si>
  <si>
    <t>⏱️ CONFIGURACIÓN TEMPORAL</t>
  </si>
  <si>
    <t>Horas dedicadas por día</t>
  </si>
  <si>
    <t>Días Short-term base</t>
  </si>
  <si>
    <t>Replanificación (+/- días)</t>
  </si>
  <si>
    <t>Delays acumulados (días)</t>
  </si>
  <si>
    <t>Factor Urgencia General</t>
  </si>
  <si>
    <t>→ Días Efectivos</t>
  </si>
  <si>
    <t>💵 PRESUPUESTO</t>
  </si>
  <si>
    <t>Presupuesto Empresa (€)</t>
  </si>
  <si>
    <t>Presupuesto Propio (€)</t>
  </si>
  <si>
    <t>→ Total Disponible (€)</t>
  </si>
  <si>
    <t>MATRIZ EMPRESARIAL: 9 Sectores + Skill Match</t>
  </si>
  <si>
    <t>Sector</t>
  </si>
  <si>
    <t>Pain Point</t>
  </si>
  <si>
    <t>Objetivo</t>
  </si>
  <si>
    <t>Tools IA</t>
  </si>
  <si>
    <t>Gap</t>
  </si>
  <si>
    <t>Oportunidad</t>
  </si>
  <si>
    <t>Prior.</t>
  </si>
  <si>
    <t>Operaciones</t>
  </si>
  <si>
    <t>Silos datos (PDFs, ERPs)</t>
  </si>
  <si>
    <t>Interop. sin migrar</t>
  </si>
  <si>
    <t>n8n+MCP</t>
  </si>
  <si>
    <t>MCP impl.</t>
  </si>
  <si>
    <t>Muy Alta</t>
  </si>
  <si>
    <t>★★★★★</t>
  </si>
  <si>
    <t>Customer Ops</t>
  </si>
  <si>
    <t>Tareas repetitivas</t>
  </si>
  <si>
    <t>-40% coste/ticket</t>
  </si>
  <si>
    <t>n8n+Intercom</t>
  </si>
  <si>
    <t>Agents autón.</t>
  </si>
  <si>
    <t>Alta</t>
  </si>
  <si>
    <t>Finanzas</t>
  </si>
  <si>
    <t>Reporting manual</t>
  </si>
  <si>
    <t>Auto cierre</t>
  </si>
  <si>
    <t>Power BI+Python</t>
  </si>
  <si>
    <t>Financial depth</t>
  </si>
  <si>
    <t>★★★★</t>
  </si>
  <si>
    <t>Marketing</t>
  </si>
  <si>
    <t>Leads fríos</t>
  </si>
  <si>
    <t>Hiper-personal.</t>
  </si>
  <si>
    <t>HubSpot+OpenAI</t>
  </si>
  <si>
    <t>Gen content</t>
  </si>
  <si>
    <t>IT DevOps</t>
  </si>
  <si>
    <t>Deuda técnica</t>
  </si>
  <si>
    <t>+Velocidad dev</t>
  </si>
  <si>
    <t>GitHub Copilot</t>
  </si>
  <si>
    <t>Code gen scale</t>
  </si>
  <si>
    <t>Media</t>
  </si>
  <si>
    <t>★★★</t>
  </si>
  <si>
    <t>Product R&amp;D</t>
  </si>
  <si>
    <t>Ciclo lento</t>
  </si>
  <si>
    <t>Acelerar TTM</t>
  </si>
  <si>
    <t>Amplitude+LLM</t>
  </si>
  <si>
    <t>PMF analytics</t>
  </si>
  <si>
    <t>Supply Chain</t>
  </si>
  <si>
    <t>Visibilidad baja</t>
  </si>
  <si>
    <t>Optim. inventario</t>
  </si>
  <si>
    <t>Tableau+ML</t>
  </si>
  <si>
    <t>Supply domain</t>
  </si>
  <si>
    <t>Media-Alta</t>
  </si>
  <si>
    <t>Legal</t>
  </si>
  <si>
    <t>Miles contratos</t>
  </si>
  <si>
    <t>-50% time</t>
  </si>
  <si>
    <t>RAG+Streamlit</t>
  </si>
  <si>
    <t>Legal domain</t>
  </si>
  <si>
    <t>★★</t>
  </si>
  <si>
    <t>HR Talent</t>
  </si>
  <si>
    <t>Onboarding lento</t>
  </si>
  <si>
    <t>EX fluida</t>
  </si>
  <si>
    <t>MS Copilot</t>
  </si>
  <si>
    <t>HR domain</t>
  </si>
  <si>
    <t>Baja-Media</t>
  </si>
  <si>
    <t>📚 CERTIFICACIONES / FORMACIÓN POR HERRAMIENTA IA</t>
  </si>
  <si>
    <t>Herramienta/Stack</t>
  </si>
  <si>
    <t>Cert. Oficial</t>
  </si>
  <si>
    <t>Curso Práctico</t>
  </si>
  <si>
    <t>Coste</t>
  </si>
  <si>
    <t>Tiempo</t>
  </si>
  <si>
    <t>ROI Perfil</t>
  </si>
  <si>
    <t>MCP</t>
  </si>
  <si>
    <t>❌ No oficial</t>
  </si>
  <si>
    <t>Anthropic docs + server</t>
  </si>
  <si>
    <t>0€</t>
  </si>
  <si>
    <t>30h</t>
  </si>
  <si>
    <t>⭐⭐⭐⭐⭐ CRÍTICO</t>
  </si>
  <si>
    <t>LangChain/Graph</t>
  </si>
  <si>
    <t>LangChain Academy</t>
  </si>
  <si>
    <t>20h</t>
  </si>
  <si>
    <t>⭐⭐⭐⭐⭐</t>
  </si>
  <si>
    <t>Azure OpenAI</t>
  </si>
  <si>
    <t>✅ AI-102</t>
  </si>
  <si>
    <t>Microsoft Learn</t>
  </si>
  <si>
    <t>165€</t>
  </si>
  <si>
    <t>60h</t>
  </si>
  <si>
    <t>⭐⭐⭐⭐</t>
  </si>
  <si>
    <t>n8n</t>
  </si>
  <si>
    <t>n8n Academy</t>
  </si>
  <si>
    <t>10h</t>
  </si>
  <si>
    <t>Power Automate</t>
  </si>
  <si>
    <t>✅ PL-500</t>
  </si>
  <si>
    <t>40h</t>
  </si>
  <si>
    <t>AWS Bedrock</t>
  </si>
  <si>
    <t>✅ ML Specialty</t>
  </si>
  <si>
    <t>AWS Skillbuilder</t>
  </si>
  <si>
    <t>300€</t>
  </si>
  <si>
    <t>80h</t>
  </si>
  <si>
    <t>⭐⭐⭐</t>
  </si>
  <si>
    <t>INVERSIÓN IA PRÁCTICA: Decision Tree + Entornos</t>
  </si>
  <si>
    <t>🌳 DECISION TREE</t>
  </si>
  <si>
    <t>Problema</t>
  </si>
  <si>
    <t>Restricciones</t>
  </si>
  <si>
    <t>Stack</t>
  </si>
  <si>
    <t>Coste/mes</t>
  </si>
  <si>
    <t>Complejidad</t>
  </si>
  <si>
    <t>Cuándo</t>
  </si>
  <si>
    <t>Automatizar soporte</t>
  </si>
  <si>
    <t>&lt;1K usuarios</t>
  </si>
  <si>
    <t>n8n + OpenAI</t>
  </si>
  <si>
    <t>€50-200</t>
  </si>
  <si>
    <t>Baja</t>
  </si>
  <si>
    <t>Quick wins MVP</t>
  </si>
  <si>
    <t>&gt;10K enterprise</t>
  </si>
  <si>
    <t>Salesforce Agent</t>
  </si>
  <si>
    <t>€1K-5K</t>
  </si>
  <si>
    <t>Scale</t>
  </si>
  <si>
    <t>Insights docs</t>
  </si>
  <si>
    <t>Públicos</t>
  </si>
  <si>
    <t>LangChain+Pinecone</t>
  </si>
  <si>
    <t>€100-500</t>
  </si>
  <si>
    <t>Proto/demo</t>
  </si>
  <si>
    <t>Sensibles</t>
  </si>
  <si>
    <t>Azure OpenAI priv</t>
  </si>
  <si>
    <t>Compliance</t>
  </si>
  <si>
    <t>Orquestar flujos</t>
  </si>
  <si>
    <t>Lineales A→B</t>
  </si>
  <si>
    <t>n8n/Make</t>
  </si>
  <si>
    <t>€50-300</t>
  </si>
  <si>
    <t>No-code rápido</t>
  </si>
  <si>
    <t>Decisiones/loops</t>
  </si>
  <si>
    <t>LangGraph+MCP</t>
  </si>
  <si>
    <t>€500-2K</t>
  </si>
  <si>
    <t>🎯 Tu dif. 2026</t>
  </si>
  <si>
    <t>💻 ENTORNOS PRÁCTICA (€0-50)</t>
  </si>
  <si>
    <t>Proyecto</t>
  </si>
  <si>
    <t>Entorno</t>
  </si>
  <si>
    <t>Dataset</t>
  </si>
  <si>
    <t>Output</t>
  </si>
  <si>
    <t>Structured Outputs</t>
  </si>
  <si>
    <t>VS Code + OpenAI $5</t>
  </si>
  <si>
    <t>JSON schemas reales</t>
  </si>
  <si>
    <t>GitHub repo + blog</t>
  </si>
  <si>
    <t>RAG Avanzado</t>
  </si>
  <si>
    <t>Docker Qdrant + LangChain</t>
  </si>
  <si>
    <t>PDFs públicos (arXiv)</t>
  </si>
  <si>
    <t>Sistema + benchmarks</t>
  </si>
  <si>
    <t>MCP Server</t>
  </si>
  <si>
    <t>Claude Desktop gratis</t>
  </si>
  <si>
    <t>BigQuery sandbox</t>
  </si>
  <si>
    <t>Server funcional + demo</t>
  </si>
  <si>
    <t>n8n Workflows</t>
  </si>
  <si>
    <t>n8n trial 14 días</t>
  </si>
  <si>
    <t>Escenarios lead enrichment</t>
  </si>
  <si>
    <t>3 workflows + video</t>
  </si>
  <si>
    <t>#</t>
  </si>
  <si>
    <t>Actividad</t>
  </si>
  <si>
    <t>Tipo</t>
  </si>
  <si>
    <t>Horas</t>
  </si>
  <si>
    <t>Coste €</t>
  </si>
  <si>
    <t>Estado</t>
  </si>
  <si>
    <t>MCP Server Prototype</t>
  </si>
  <si>
    <t>IA Práctica</t>
  </si>
  <si>
    <t>S1-S4</t>
  </si>
  <si>
    <t>Formación IA</t>
  </si>
  <si>
    <t>S3-S5</t>
  </si>
  <si>
    <t>Structured Outputs Lab</t>
  </si>
  <si>
    <t>S5-S7</t>
  </si>
  <si>
    <t>S6-S9</t>
  </si>
  <si>
    <t>dbt Fundamentals</t>
  </si>
  <si>
    <t>Certificación</t>
  </si>
  <si>
    <t>S8-S10</t>
  </si>
  <si>
    <t>S10-S11</t>
  </si>
  <si>
    <t>Observabilidad LangSmith</t>
  </si>
  <si>
    <t>S11-S12</t>
  </si>
  <si>
    <t>Azure DP-203</t>
  </si>
  <si>
    <t>GCP Professional</t>
  </si>
  <si>
    <t>AI-102 Azure AI</t>
  </si>
  <si>
    <t>Artículo #1 MCP</t>
  </si>
  <si>
    <t>Visibilidad</t>
  </si>
  <si>
    <t>S4</t>
  </si>
  <si>
    <t>Artículo #2 RAG</t>
  </si>
  <si>
    <t>S9</t>
  </si>
  <si>
    <t>PLAN ÓPTIMO: Tabla Acumulativa con Línea de Corte</t>
  </si>
  <si>
    <t>📊 RESTRICCIONES ACTUALES</t>
  </si>
  <si>
    <t>Horas Disponibles:</t>
  </si>
  <si>
    <t>Presupuesto Directo:</t>
  </si>
  <si>
    <t>⚠️ INSTRUCCIÓN: Copia actividades VERDES desde P4 (ordenadas por Score desc) aquí</t>
  </si>
  <si>
    <t>📋 TABLA ACUMULATIVA (manual)</t>
  </si>
  <si>
    <t>Score</t>
  </si>
  <si>
    <t>∑ Horas</t>
  </si>
  <si>
    <t>∑ Coste</t>
  </si>
  <si>
    <t>¿Cabe?</t>
  </si>
  <si>
    <t>Restricción Activa</t>
  </si>
  <si>
    <t>Observabilidad</t>
  </si>
  <si>
    <t>→ LÍNEA DE CORTE: Última fila con '✅ SÍ' indica límite de tu plan</t>
  </si>
  <si>
    <t>EJECUCIÓN TEMPORAL: Milestones Short-term</t>
  </si>
  <si>
    <t>⚠️ NOTA: Actualizar manualmente según priorización final P4-P5</t>
  </si>
  <si>
    <t>🎯 MILESTONES CRÍTICOS</t>
  </si>
  <si>
    <t>Semana</t>
  </si>
  <si>
    <t>Milestone</t>
  </si>
  <si>
    <t>Impacto</t>
  </si>
  <si>
    <t>🎯 Contenido público</t>
  </si>
  <si>
    <t>Posicionamiento MCP early adopter</t>
  </si>
  <si>
    <t>S7</t>
  </si>
  <si>
    <t>🎯 Portfolio técnico</t>
  </si>
  <si>
    <t>GitHub + blog verificable</t>
  </si>
  <si>
    <t>🎯 Diferenciación RAG</t>
  </si>
  <si>
    <t>RAG + Artículo #2</t>
  </si>
  <si>
    <t>Expertise production RAG</t>
  </si>
  <si>
    <t>S10</t>
  </si>
  <si>
    <t>🎯 Primera cert</t>
  </si>
  <si>
    <t>Badge oficial visible</t>
  </si>
  <si>
    <t>S12</t>
  </si>
  <si>
    <t>🎯 Proyecto diferenciador</t>
  </si>
  <si>
    <t>Demo funcional + docs</t>
  </si>
  <si>
    <t>📅 MÉTRICAS TEMPORALES</t>
  </si>
  <si>
    <t>Semanas totales:</t>
  </si>
  <si>
    <t>Carga semanal:</t>
  </si>
  <si>
    <t>GRÁFICO SCATTER: ROI vs Coste Total</t>
  </si>
  <si>
    <t>📊 Datos del gráfico</t>
  </si>
  <si>
    <t>ROI Score</t>
  </si>
  <si>
    <t>Verde</t>
  </si>
  <si>
    <t>ℹ️ Líneas restricción: Ver líneas verticales en Excel desktop (600€ rojo, ~1,460€ naranja)</t>
  </si>
  <si>
    <t>TIMELINE CONDENSADO: Plan Ejecutable Semana a Semana</t>
  </si>
  <si>
    <t>📅 SHORT-TERM (90 días, Ene-Mar 2026)</t>
  </si>
  <si>
    <t>Actividad Principal</t>
  </si>
  <si>
    <t>50€</t>
  </si>
  <si>
    <t>S1</t>
  </si>
  <si>
    <t>+ Recomendaciones LinkedIn</t>
  </si>
  <si>
    <t>1h</t>
  </si>
  <si>
    <t>Artículo #1: MCP Enterprise</t>
  </si>
  <si>
    <t>2.5h</t>
  </si>
  <si>
    <t>🎯 Primer contenido público</t>
  </si>
  <si>
    <t>15h</t>
  </si>
  <si>
    <t>🎯 Portfolio técnico GitHub</t>
  </si>
  <si>
    <t>16h</t>
  </si>
  <si>
    <t>Artículo #2: RAG Production</t>
  </si>
  <si>
    <t>12h</t>
  </si>
  <si>
    <t>20€</t>
  </si>
  <si>
    <t>+ Propuesta charlas meetups</t>
  </si>
  <si>
    <t>2h</t>
  </si>
  <si>
    <t>🎯 Primera certificación</t>
  </si>
  <si>
    <t>8h</t>
  </si>
  <si>
    <t>Artículo #3: Multi-Cloud ETL</t>
  </si>
  <si>
    <t>3h</t>
  </si>
  <si>
    <t>🎯 MCP Server completado</t>
  </si>
  <si>
    <t>TOTAL SHORT-TERM</t>
  </si>
  <si>
    <t>132h</t>
  </si>
  <si>
    <t>120€</t>
  </si>
  <si>
    <t>ℹ️ Timeline alimentado desde Pestaña 4 priorización + Pestaña 5 corte</t>
  </si>
  <si>
    <t>Inicio</t>
  </si>
  <si>
    <t>Duración</t>
  </si>
  <si>
    <t>LangChain</t>
  </si>
  <si>
    <t>=B5*(1-B6/100)/2080</t>
  </si>
  <si>
    <t>=B13+B14-B15</t>
  </si>
  <si>
    <t>=B12*B18</t>
  </si>
  <si>
    <t>=(@SkillMatch×0.30) + (@Diferenc.×0.25) + (@Empl.×0.20) + (@Badge×0.15) + (@Tools×0.10)</t>
  </si>
  <si>
    <t>=(@Proyectos×30%) + (@Stack×25%) + (@Sectorial×15%) + (@Soft×10%) + (@Certs×20%)</t>
  </si>
  <si>
    <r>
      <t>=</t>
    </r>
    <r>
      <rPr>
        <sz val="7"/>
        <color rgb="FFF7981D"/>
        <rFont val="Courier New"/>
        <family val="3"/>
      </rPr>
      <t>F</t>
    </r>
    <r>
      <rPr>
        <sz val="7"/>
        <color rgb="FF374151"/>
        <rFont val="Courier New"/>
        <family val="3"/>
      </rPr>
      <t>{</t>
    </r>
    <r>
      <rPr>
        <sz val="7"/>
        <color rgb="FFF7981D"/>
        <rFont val="Courier New"/>
        <family val="3"/>
      </rPr>
      <t>row</t>
    </r>
    <r>
      <rPr>
        <sz val="7"/>
        <color rgb="FF374151"/>
        <rFont val="Courier New"/>
        <family val="3"/>
      </rPr>
      <t>}*</t>
    </r>
    <r>
      <rPr>
        <sz val="7"/>
        <color rgb="FFF7981D"/>
        <rFont val="Courier New"/>
        <family val="3"/>
      </rPr>
      <t>G</t>
    </r>
    <r>
      <rPr>
        <sz val="7"/>
        <color rgb="FF374151"/>
        <rFont val="Courier New"/>
        <family val="3"/>
      </rPr>
      <t>{</t>
    </r>
    <r>
      <rPr>
        <sz val="7"/>
        <color rgb="FFF7981D"/>
        <rFont val="Courier New"/>
        <family val="3"/>
      </rPr>
      <t>row</t>
    </r>
    <r>
      <rPr>
        <sz val="7"/>
        <color rgb="FF374151"/>
        <rFont val="Courier New"/>
        <family val="3"/>
      </rPr>
      <t>}*</t>
    </r>
    <r>
      <rPr>
        <sz val="7"/>
        <color rgb="FFF7981D"/>
        <rFont val="Courier New"/>
        <family val="3"/>
      </rPr>
      <t>1_Panel_Control!$B$16</t>
    </r>
  </si>
  <si>
    <t>=E{row}+(D{row}*1_Panel_Control!$B$8)</t>
  </si>
  <si>
    <t>Salario NETO Objetivo (€)</t>
  </si>
  <si>
    <t>Salario Bruto Anual OBJETIVO (€)</t>
  </si>
  <si>
    <t>Retención efectiva OBJETIVO (%)</t>
  </si>
  <si>
    <t>Incremento BRUTO objetivo (%)</t>
  </si>
  <si>
    <t>Salario NETO (€)</t>
  </si>
  <si>
    <t>Coste Hora NETO OBJETIVO (€/h)</t>
  </si>
  <si>
    <t>Valor Tiempo (€ neto)</t>
  </si>
  <si>
    <t>RESTRICCIÓN Coste total (presupuesto + tiempo)</t>
  </si>
  <si>
    <t>Semanas en Short term</t>
  </si>
  <si>
    <t>→ Horas Disponibles en Short term</t>
  </si>
  <si>
    <t>ID</t>
  </si>
  <si>
    <t>Pre_req</t>
  </si>
  <si>
    <t>Probabilidad</t>
  </si>
  <si>
    <t>Speaker en Meetup Local de Data/IA</t>
  </si>
  <si>
    <t>Networking</t>
  </si>
  <si>
    <t>Capa_id</t>
  </si>
  <si>
    <t>Capa_desc</t>
  </si>
  <si>
    <t>Capa_score</t>
  </si>
  <si>
    <t>Empleabilidad</t>
  </si>
  <si>
    <t>Facilidad</t>
  </si>
  <si>
    <t>Orchestration</t>
  </si>
  <si>
    <t>Models (LLMs)</t>
  </si>
  <si>
    <t>Data &amp; Memory</t>
  </si>
  <si>
    <t>Governance</t>
  </si>
  <si>
    <t>Infrastructure</t>
  </si>
  <si>
    <t>Recomendaciones LinkedIn</t>
  </si>
  <si>
    <t>Google GenAI Fundamentals</t>
  </si>
  <si>
    <t>Vertex AI Agent Builder</t>
  </si>
  <si>
    <t>BigQuery ML Vector Search</t>
  </si>
  <si>
    <t>Cert. Google ML Engineer</t>
  </si>
  <si>
    <t>Prompt Design Vertex AI</t>
  </si>
  <si>
    <t>Gemini for Data Scientists</t>
  </si>
  <si>
    <t>Score_Real_Anterior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</si>
</sst>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sz val="9"/>
      <color rgb="FF667EEA"/>
      <name val="Courier New"/>
    </font>
    <font>
      <b/>
      <sz val="11"/>
      <color rgb="FFDC3545"/>
      <name val="Calibri"/>
    </font>
    <font>
      <b/>
      <sz val="11"/>
      <name val="Calibri"/>
    </font>
    <font>
      <b/>
      <sz val="11"/>
      <color rgb="FF28A745"/>
      <name val="Calibri"/>
    </font>
    <font>
      <b/>
      <sz val="12"/>
      <name val="Calibri"/>
    </font>
    <font>
      <b/>
      <sz val="11"/>
      <color rgb="FF667EEA"/>
      <name val="Calibri"/>
    </font>
    <font>
      <b/>
      <sz val="14"/>
      <color rgb="FFFFFFFF"/>
      <name val="Calibri"/>
    </font>
    <font>
      <b/>
      <sz val="11"/>
      <name val="Calibri"/>
    </font>
    <font>
      <b/>
      <sz val="10"/>
      <color rgb="FFDC3545"/>
      <name val="Calibri"/>
    </font>
    <font>
      <b/>
      <sz val="10"/>
      <color rgb="FFFFFFFF"/>
      <name val="Calibri"/>
    </font>
    <font>
      <i/>
      <sz val="10"/>
      <color rgb="FF667EEA"/>
      <name val="Calibri"/>
    </font>
    <font>
      <sz val="10"/>
      <color rgb="FFDC3545"/>
      <name val="Calibri"/>
    </font>
    <font>
      <i/>
      <sz val="9"/>
      <name val="Calibri"/>
    </font>
    <font>
      <b/>
      <sz val="11"/>
      <color theme="1"/>
      <name val="Calibri"/>
      <family val="2"/>
      <scheme val="minor"/>
    </font>
    <font>
      <sz val="7"/>
      <color rgb="FFAAAAAA"/>
      <name val="Courier New"/>
      <family val="3"/>
    </font>
    <font>
      <sz val="7"/>
      <color rgb="FFF7981D"/>
      <name val="Courier New"/>
      <family val="3"/>
    </font>
    <font>
      <sz val="7"/>
      <color rgb="FF374151"/>
      <name val="Courier New"/>
      <family val="3"/>
    </font>
    <font>
      <sz val="9"/>
      <color rgb="FF667EEA"/>
      <name val="Courier New"/>
      <family val="3"/>
    </font>
    <font>
      <b/>
      <sz val="11"/>
      <color rgb="FFFFFFFF"/>
      <name val="Calibri"/>
      <family val="2"/>
    </font>
    <font>
      <b/>
      <sz val="11"/>
      <color rgb="FF28A745"/>
      <name val="Calibri"/>
      <family val="2"/>
    </font>
    <font>
      <sz val="11"/>
      <color rgb="FF667EEA"/>
      <name val="Calibri"/>
      <family val="2"/>
    </font>
    <font>
      <b/>
      <sz val="14"/>
      <color rgb="FF667EEA"/>
      <name val="Calibri"/>
      <family val="2"/>
    </font>
    <font>
      <b/>
      <sz val="10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6C757D"/>
      </patternFill>
    </fill>
    <fill>
      <patternFill patternType="solid">
        <fgColor rgb="FF667EEA"/>
      </patternFill>
    </fill>
    <fill>
      <patternFill patternType="solid">
        <fgColor rgb="FF495057"/>
      </patternFill>
    </fill>
    <fill>
      <patternFill patternType="solid">
        <fgColor rgb="FF28A745"/>
      </patternFill>
    </fill>
    <fill>
      <patternFill patternType="solid">
        <fgColor rgb="FFFFC107"/>
      </patternFill>
    </fill>
    <fill>
      <patternFill patternType="solid">
        <fgColor rgb="FF764BA2"/>
      </patternFill>
    </fill>
    <fill>
      <patternFill patternType="solid">
        <fgColor rgb="FFDC3545"/>
      </patternFill>
    </fill>
    <fill>
      <patternFill patternType="solid">
        <fgColor rgb="FFE3F2FD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/>
    <xf numFmtId="0" fontId="7" fillId="0" borderId="0" xfId="0" applyFont="1"/>
    <xf numFmtId="3" fontId="0" fillId="9" borderId="0" xfId="0" applyNumberFormat="1" applyFill="1"/>
    <xf numFmtId="0" fontId="0" fillId="9" borderId="0" xfId="0" applyFill="1"/>
    <xf numFmtId="2" fontId="9" fillId="10" borderId="0" xfId="0" applyNumberFormat="1" applyFont="1" applyFill="1"/>
    <xf numFmtId="0" fontId="9" fillId="0" borderId="0" xfId="0" applyFont="1"/>
    <xf numFmtId="0" fontId="9" fillId="10" borderId="0" xfId="0" applyFont="1" applyFill="1"/>
    <xf numFmtId="0" fontId="3" fillId="4" borderId="0" xfId="0" applyFont="1" applyFill="1" applyAlignment="1">
      <alignment horizontal="center" wrapText="1"/>
    </xf>
    <xf numFmtId="0" fontId="6" fillId="11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3" fillId="4" borderId="0" xfId="0" applyFont="1" applyFill="1"/>
    <xf numFmtId="0" fontId="0" fillId="11" borderId="0" xfId="0" applyFill="1" applyAlignment="1">
      <alignment vertical="top" wrapText="1"/>
    </xf>
    <xf numFmtId="0" fontId="13" fillId="4" borderId="0" xfId="0" applyFont="1" applyFill="1" applyAlignment="1">
      <alignment horizontal="center"/>
    </xf>
    <xf numFmtId="2" fontId="9" fillId="0" borderId="0" xfId="0" applyNumberFormat="1" applyFont="1"/>
    <xf numFmtId="164" fontId="9" fillId="0" borderId="0" xfId="0" applyNumberFormat="1" applyFont="1"/>
    <xf numFmtId="3" fontId="9" fillId="0" borderId="0" xfId="0" applyNumberFormat="1" applyFont="1"/>
    <xf numFmtId="0" fontId="9" fillId="9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4" fillId="0" borderId="0" xfId="0" quotePrefix="1" applyFont="1" applyAlignment="1">
      <alignment vertical="top" wrapText="1"/>
    </xf>
    <xf numFmtId="0" fontId="18" fillId="0" borderId="0" xfId="0" quotePrefix="1" applyFont="1"/>
    <xf numFmtId="0" fontId="21" fillId="0" borderId="0" xfId="0" quotePrefix="1" applyFont="1" applyAlignment="1">
      <alignment vertical="top" wrapText="1"/>
    </xf>
    <xf numFmtId="0" fontId="22" fillId="4" borderId="0" xfId="0" applyFont="1" applyFill="1"/>
    <xf numFmtId="3" fontId="23" fillId="0" borderId="0" xfId="0" applyNumberFormat="1" applyFont="1"/>
    <xf numFmtId="9" fontId="23" fillId="0" borderId="0" xfId="0" applyNumberFormat="1" applyFont="1"/>
    <xf numFmtId="2" fontId="24" fillId="0" borderId="0" xfId="0" applyNumberFormat="1" applyFont="1"/>
    <xf numFmtId="2" fontId="0" fillId="0" borderId="0" xfId="0" applyNumberFormat="1"/>
    <xf numFmtId="2" fontId="25" fillId="10" borderId="0" xfId="0" applyNumberFormat="1" applyFont="1" applyFill="1"/>
    <xf numFmtId="0" fontId="17" fillId="0" borderId="0" xfId="0" applyFont="1"/>
    <xf numFmtId="0" fontId="26" fillId="4" borderId="0" xfId="0" applyFont="1" applyFill="1" applyAlignment="1">
      <alignment horizontal="center"/>
    </xf>
    <xf numFmtId="0" fontId="3" fillId="1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1" fillId="2" borderId="0" xfId="0" applyFont="1" applyFill="1"/>
    <xf numFmtId="0" fontId="0" fillId="0" borderId="0" xfId="0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/>
    <xf numFmtId="0" fontId="2" fillId="6" borderId="0" xfId="0" applyFont="1" applyFill="1"/>
    <xf numFmtId="0" fontId="2" fillId="5" borderId="0" xfId="0" applyFont="1" applyFill="1"/>
    <xf numFmtId="0" fontId="2" fillId="2" borderId="0" xfId="0" applyFont="1" applyFill="1"/>
    <xf numFmtId="0" fontId="2" fillId="8" borderId="0" xfId="0" applyFont="1" applyFill="1"/>
    <xf numFmtId="0" fontId="2" fillId="7" borderId="0" xfId="0" applyFont="1" applyFill="1"/>
    <xf numFmtId="0" fontId="1" fillId="3" borderId="0" xfId="0" applyFont="1" applyFill="1"/>
    <xf numFmtId="0" fontId="8" fillId="0" borderId="0" xfId="0" applyFont="1"/>
    <xf numFmtId="0" fontId="10" fillId="3" borderId="0" xfId="0" applyFont="1" applyFill="1"/>
    <xf numFmtId="0" fontId="11" fillId="0" borderId="0" xfId="0" applyFont="1"/>
    <xf numFmtId="0" fontId="14" fillId="0" borderId="0" xfId="0" applyFont="1"/>
    <xf numFmtId="0" fontId="12" fillId="0" borderId="0" xfId="0" applyFont="1"/>
    <xf numFmtId="0" fontId="10" fillId="5" borderId="0" xfId="0" applyFont="1" applyFill="1"/>
    <xf numFmtId="0" fontId="10" fillId="6" borderId="0" xfId="0" applyFont="1" applyFill="1"/>
    <xf numFmtId="0" fontId="15" fillId="0" borderId="0" xfId="0" applyFont="1"/>
    <xf numFmtId="0" fontId="10" fillId="7" borderId="0" xfId="0" applyFont="1" applyFill="1"/>
    <xf numFmtId="0" fontId="16" fillId="0" borderId="0" xfId="0" applyFont="1"/>
    <xf numFmtId="0" fontId="10" fillId="8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Priorización: ROI vs Coste Total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870846180198695"/>
          <c:y val="0.25296296296296295"/>
          <c:w val="0.6"/>
          <c:h val="0.6"/>
        </c:manualLayout>
      </c:layout>
      <c:scatterChart>
        <c:scatterStyle val="lineMarker"/>
        <c:varyColors val="1"/>
        <c:ser>
          <c:idx val="0"/>
          <c:order val="0"/>
          <c:tx>
            <c:v>MCP Server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'7_Scatter_Priorizacion'!$C$6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92-40DC-92D5-98B549ABCB7D}"/>
            </c:ext>
          </c:extLst>
        </c:ser>
        <c:ser>
          <c:idx val="1"/>
          <c:order val="1"/>
          <c:tx>
            <c:v>LangChain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'7_Scatter_Priorizacion'!$C$7</c:f>
              <c:numCache>
                <c:formatCode>General</c:formatCode>
                <c:ptCount val="1"/>
                <c:pt idx="0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92-40DC-92D5-98B549ABCB7D}"/>
            </c:ext>
          </c:extLst>
        </c:ser>
        <c:ser>
          <c:idx val="2"/>
          <c:order val="2"/>
          <c:tx>
            <c:v>Structured Outputs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'7_Scatter_Priorizacion'!$C$8</c:f>
              <c:numCache>
                <c:formatCode>General</c:formatCode>
                <c:ptCount val="1"/>
                <c:pt idx="0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92-40DC-92D5-98B549ABCB7D}"/>
            </c:ext>
          </c:extLst>
        </c:ser>
        <c:ser>
          <c:idx val="3"/>
          <c:order val="3"/>
          <c:tx>
            <c:v>RAG Avanzado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'7_Scatter_Priorizacion'!$C$9</c:f>
              <c:numCache>
                <c:formatCode>General</c:formatCode>
                <c:ptCount val="1"/>
                <c:pt idx="0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92-40DC-92D5-98B549ABCB7D}"/>
            </c:ext>
          </c:extLst>
        </c:ser>
        <c:ser>
          <c:idx val="4"/>
          <c:order val="4"/>
          <c:tx>
            <c:v>dbt Fundamentals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'7_Scatter_Priorizacion'!$B$10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'7_Scatter_Priorizacion'!$C$10</c:f>
              <c:numCache>
                <c:formatCode>General</c:formatCode>
                <c:ptCount val="1"/>
                <c:pt idx="0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92-40DC-92D5-98B549ABCB7D}"/>
            </c:ext>
          </c:extLst>
        </c:ser>
        <c:ser>
          <c:idx val="5"/>
          <c:order val="5"/>
          <c:tx>
            <c:v>n8n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'7_Scatter_Priorizacion'!$B$11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'7_Scatter_Priorizacion'!$C$11</c:f>
              <c:numCache>
                <c:formatCode>General</c:formatCode>
                <c:ptCount val="1"/>
                <c:pt idx="0">
                  <c:v>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D92-40DC-92D5-98B549ABCB7D}"/>
            </c:ext>
          </c:extLst>
        </c:ser>
        <c:ser>
          <c:idx val="6"/>
          <c:order val="6"/>
          <c:tx>
            <c:v>Observabilidad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'7_Scatter_Priorizacion'!$B$12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'7_Scatter_Priorizacion'!$C$12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D92-40DC-92D5-98B549ABCB7D}"/>
            </c:ext>
          </c:extLst>
        </c:ser>
        <c:ser>
          <c:idx val="7"/>
          <c:order val="7"/>
          <c:tx>
            <c:v>Azure DP-203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'7_Scatter_Priorizacion'!$B$13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'7_Scatter_Priorizacion'!$C$13</c:f>
              <c:numCache>
                <c:formatCode>General</c:formatCode>
                <c:ptCount val="1"/>
                <c:pt idx="0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D92-40DC-92D5-98B549ABCB7D}"/>
            </c:ext>
          </c:extLst>
        </c:ser>
        <c:ser>
          <c:idx val="8"/>
          <c:order val="8"/>
          <c:tx>
            <c:v>GCP Pro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'7_Scatter_Priorizacion'!$B$14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'7_Scatter_Priorizacion'!$C$14</c:f>
              <c:numCache>
                <c:formatCode>General</c:formatCode>
                <c:ptCount val="1"/>
                <c:pt idx="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D92-40DC-92D5-98B549ABC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Coste Total (€)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ROI Score (0-5)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Timeline Visual Short-term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'8_Timeline_Doc1'!$B$25</c:f>
              <c:strCache>
                <c:ptCount val="1"/>
                <c:pt idx="0">
                  <c:v>Inicio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'8_Timeline_Doc1'!$A$26:$A$32</c:f>
              <c:strCache>
                <c:ptCount val="7"/>
                <c:pt idx="0">
                  <c:v>MCP Server</c:v>
                </c:pt>
                <c:pt idx="1">
                  <c:v>LangChain</c:v>
                </c:pt>
                <c:pt idx="2">
                  <c:v>Structured Outputs</c:v>
                </c:pt>
                <c:pt idx="3">
                  <c:v>RAG Avanzado</c:v>
                </c:pt>
                <c:pt idx="4">
                  <c:v>dbt Fundamentals</c:v>
                </c:pt>
                <c:pt idx="5">
                  <c:v>n8n Workflows</c:v>
                </c:pt>
                <c:pt idx="6">
                  <c:v>Observabilidad</c:v>
                </c:pt>
              </c:strCache>
            </c:strRef>
          </c:cat>
          <c:val>
            <c:numRef>
              <c:f>'8_Timeline_Doc1'!$B$26:$B$32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E-43CF-AA86-58956D54CE66}"/>
            </c:ext>
          </c:extLst>
        </c:ser>
        <c:ser>
          <c:idx val="1"/>
          <c:order val="1"/>
          <c:tx>
            <c:strRef>
              <c:f>'8_Timeline_Doc1'!$C$25</c:f>
              <c:strCache>
                <c:ptCount val="1"/>
                <c:pt idx="0">
                  <c:v>Duración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'8_Timeline_Doc1'!$A$26:$A$32</c:f>
              <c:strCache>
                <c:ptCount val="7"/>
                <c:pt idx="0">
                  <c:v>MCP Server</c:v>
                </c:pt>
                <c:pt idx="1">
                  <c:v>LangChain</c:v>
                </c:pt>
                <c:pt idx="2">
                  <c:v>Structured Outputs</c:v>
                </c:pt>
                <c:pt idx="3">
                  <c:v>RAG Avanzado</c:v>
                </c:pt>
                <c:pt idx="4">
                  <c:v>dbt Fundamentals</c:v>
                </c:pt>
                <c:pt idx="5">
                  <c:v>n8n Workflows</c:v>
                </c:pt>
                <c:pt idx="6">
                  <c:v>Observabilidad</c:v>
                </c:pt>
              </c:strCache>
            </c:strRef>
          </c:cat>
          <c:val>
            <c:numRef>
              <c:f>'8_Timeline_Doc1'!$C$26:$C$32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E-43CF-AA86-58956D54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Semanas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Actividades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14</xdr:row>
      <xdr:rowOff>175260</xdr:rowOff>
    </xdr:from>
    <xdr:ext cx="741426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E1EA-30D8-442D-9645-D0C105905A37}">
  <dimension ref="A1:F21"/>
  <sheetViews>
    <sheetView workbookViewId="0">
      <selection sqref="A1:F19"/>
    </sheetView>
  </sheetViews>
  <sheetFormatPr baseColWidth="10" defaultColWidth="8.88671875" defaultRowHeight="14.4" x14ac:dyDescent="0.3"/>
  <cols>
    <col min="1" max="1" width="12" customWidth="1"/>
    <col min="2" max="2" width="31" bestFit="1" customWidth="1"/>
    <col min="3" max="3" width="12" customWidth="1"/>
  </cols>
  <sheetData>
    <row r="1" spans="1:6" x14ac:dyDescent="0.3">
      <c r="A1" s="15" t="s">
        <v>397</v>
      </c>
      <c r="B1" s="15" t="s">
        <v>282</v>
      </c>
      <c r="C1" t="s">
        <v>419</v>
      </c>
      <c r="D1" s="16" t="str">
        <f>'4_Actividades_Priorizadas'!J1</f>
        <v>Capa_score</v>
      </c>
      <c r="E1" s="16" t="str">
        <f>'4_Actividades_Priorizadas'!K1</f>
        <v>Empleabilidad</v>
      </c>
      <c r="F1" s="16" t="str">
        <f>'4_Actividades_Priorizadas'!L1</f>
        <v>Facilidad</v>
      </c>
    </row>
    <row r="2" spans="1:6" x14ac:dyDescent="0.3">
      <c r="A2" s="58">
        <f>'4_Actividades_Priorizadas'!A2</f>
        <v>1</v>
      </c>
      <c r="B2" s="58" t="str">
        <f>'4_Actividades_Priorizadas'!B2</f>
        <v>MCP Server Prototype</v>
      </c>
      <c r="C2">
        <f>(D2*0.4)+(E2*0.4)+(F2*0.2)</f>
        <v>9.1999999999999993</v>
      </c>
      <c r="D2" s="16">
        <f>'4_Actividades_Priorizadas'!J2</f>
        <v>10</v>
      </c>
      <c r="E2" s="16">
        <f>'4_Actividades_Priorizadas'!K2</f>
        <v>9</v>
      </c>
      <c r="F2" s="16">
        <f>'4_Actividades_Priorizadas'!L2</f>
        <v>8</v>
      </c>
    </row>
    <row r="3" spans="1:6" x14ac:dyDescent="0.3">
      <c r="A3" s="58">
        <f>'4_Actividades_Priorizadas'!A3</f>
        <v>2</v>
      </c>
      <c r="B3" s="58" t="str">
        <f>'4_Actividades_Priorizadas'!B3</f>
        <v>LangChain Academy</v>
      </c>
      <c r="C3">
        <f t="shared" ref="C3:C19" si="0">(D3*0.4)+(E3*0.4)+(F3*0.2)</f>
        <v>9.8000000000000007</v>
      </c>
      <c r="D3" s="16">
        <f>'4_Actividades_Priorizadas'!J3</f>
        <v>10</v>
      </c>
      <c r="E3" s="16">
        <f>'4_Actividades_Priorizadas'!K3</f>
        <v>10</v>
      </c>
      <c r="F3" s="16">
        <f>'4_Actividades_Priorizadas'!L3</f>
        <v>9</v>
      </c>
    </row>
    <row r="4" spans="1:6" x14ac:dyDescent="0.3">
      <c r="A4" s="58">
        <f>'4_Actividades_Priorizadas'!A4</f>
        <v>3</v>
      </c>
      <c r="B4" s="58" t="str">
        <f>'4_Actividades_Priorizadas'!B4</f>
        <v>Structured Outputs Lab</v>
      </c>
      <c r="C4">
        <f t="shared" si="0"/>
        <v>7.6</v>
      </c>
      <c r="D4" s="16">
        <f>'4_Actividades_Priorizadas'!J4</f>
        <v>7</v>
      </c>
      <c r="E4" s="16">
        <f>'4_Actividades_Priorizadas'!K4</f>
        <v>8</v>
      </c>
      <c r="F4" s="16">
        <f>'4_Actividades_Priorizadas'!L4</f>
        <v>8</v>
      </c>
    </row>
    <row r="5" spans="1:6" x14ac:dyDescent="0.3">
      <c r="A5" s="58">
        <f>'4_Actividades_Priorizadas'!A5</f>
        <v>4</v>
      </c>
      <c r="B5" s="58" t="str">
        <f>'4_Actividades_Priorizadas'!B5</f>
        <v>RAG Avanzado</v>
      </c>
      <c r="C5">
        <f t="shared" si="0"/>
        <v>9.4</v>
      </c>
      <c r="D5" s="16">
        <f>'4_Actividades_Priorizadas'!J5</f>
        <v>9</v>
      </c>
      <c r="E5" s="16">
        <f>'4_Actividades_Priorizadas'!K5</f>
        <v>10</v>
      </c>
      <c r="F5" s="16">
        <f>'4_Actividades_Priorizadas'!L5</f>
        <v>9</v>
      </c>
    </row>
    <row r="6" spans="1:6" x14ac:dyDescent="0.3">
      <c r="A6" s="58">
        <f>'4_Actividades_Priorizadas'!A6</f>
        <v>5</v>
      </c>
      <c r="B6" s="58" t="str">
        <f>'4_Actividades_Priorizadas'!B6</f>
        <v>dbt Fundamentals</v>
      </c>
      <c r="C6">
        <f t="shared" si="0"/>
        <v>8.8000000000000007</v>
      </c>
      <c r="D6" s="16">
        <f>'4_Actividades_Priorizadas'!J6</f>
        <v>9</v>
      </c>
      <c r="E6" s="16">
        <f>'4_Actividades_Priorizadas'!K6</f>
        <v>8</v>
      </c>
      <c r="F6" s="16">
        <f>'4_Actividades_Priorizadas'!L6</f>
        <v>10</v>
      </c>
    </row>
    <row r="7" spans="1:6" x14ac:dyDescent="0.3">
      <c r="A7" s="58">
        <f>'4_Actividades_Priorizadas'!A7</f>
        <v>6</v>
      </c>
      <c r="B7" s="58" t="str">
        <f>'4_Actividades_Priorizadas'!B7</f>
        <v>n8n Workflows</v>
      </c>
      <c r="C7">
        <f t="shared" si="0"/>
        <v>8.6000000000000014</v>
      </c>
      <c r="D7" s="16">
        <f>'4_Actividades_Priorizadas'!J7</f>
        <v>10</v>
      </c>
      <c r="E7" s="16">
        <f>'4_Actividades_Priorizadas'!K7</f>
        <v>7</v>
      </c>
      <c r="F7" s="16">
        <f>'4_Actividades_Priorizadas'!L7</f>
        <v>9</v>
      </c>
    </row>
    <row r="8" spans="1:6" x14ac:dyDescent="0.3">
      <c r="A8" s="58">
        <f>'4_Actividades_Priorizadas'!A8</f>
        <v>7</v>
      </c>
      <c r="B8" s="58" t="str">
        <f>'4_Actividades_Priorizadas'!B8</f>
        <v>Observabilidad LangSmith</v>
      </c>
      <c r="C8">
        <f t="shared" si="0"/>
        <v>8.6</v>
      </c>
      <c r="D8" s="16">
        <f>'4_Actividades_Priorizadas'!J8</f>
        <v>9</v>
      </c>
      <c r="E8" s="16">
        <f>'4_Actividades_Priorizadas'!K8</f>
        <v>9</v>
      </c>
      <c r="F8" s="16">
        <f>'4_Actividades_Priorizadas'!L8</f>
        <v>7</v>
      </c>
    </row>
    <row r="9" spans="1:6" x14ac:dyDescent="0.3">
      <c r="A9" s="58">
        <f>'4_Actividades_Priorizadas'!A9</f>
        <v>8</v>
      </c>
      <c r="B9" s="58" t="str">
        <f>'4_Actividades_Priorizadas'!B9</f>
        <v>Azure DP-203</v>
      </c>
      <c r="C9">
        <f t="shared" si="0"/>
        <v>5.6000000000000005</v>
      </c>
      <c r="D9" s="16">
        <f>'4_Actividades_Priorizadas'!J9</f>
        <v>5</v>
      </c>
      <c r="E9" s="16">
        <f>'4_Actividades_Priorizadas'!K9</f>
        <v>6</v>
      </c>
      <c r="F9" s="16">
        <f>'4_Actividades_Priorizadas'!L9</f>
        <v>6</v>
      </c>
    </row>
    <row r="10" spans="1:6" x14ac:dyDescent="0.3">
      <c r="A10" s="58">
        <f>'4_Actividades_Priorizadas'!A10</f>
        <v>9</v>
      </c>
      <c r="B10" s="58" t="str">
        <f>'4_Actividades_Priorizadas'!B10</f>
        <v>GCP Professional</v>
      </c>
      <c r="C10">
        <f t="shared" si="0"/>
        <v>5.4</v>
      </c>
      <c r="D10" s="16">
        <f>'4_Actividades_Priorizadas'!J10</f>
        <v>5</v>
      </c>
      <c r="E10" s="16">
        <f>'4_Actividades_Priorizadas'!K10</f>
        <v>6</v>
      </c>
      <c r="F10" s="16">
        <f>'4_Actividades_Priorizadas'!L10</f>
        <v>5</v>
      </c>
    </row>
    <row r="11" spans="1:6" x14ac:dyDescent="0.3">
      <c r="A11" s="58">
        <f>'4_Actividades_Priorizadas'!A11</f>
        <v>10</v>
      </c>
      <c r="B11" s="58" t="str">
        <f>'4_Actividades_Priorizadas'!B11</f>
        <v>Recomendaciones LinkedIn</v>
      </c>
      <c r="C11">
        <f t="shared" si="0"/>
        <v>7.2</v>
      </c>
      <c r="D11" s="16">
        <f>'4_Actividades_Priorizadas'!J11</f>
        <v>9</v>
      </c>
      <c r="E11" s="16">
        <f>'4_Actividades_Priorizadas'!K11</f>
        <v>4</v>
      </c>
      <c r="F11" s="16">
        <f>'4_Actividades_Priorizadas'!L11</f>
        <v>10</v>
      </c>
    </row>
    <row r="12" spans="1:6" x14ac:dyDescent="0.3">
      <c r="A12" s="58">
        <f>'4_Actividades_Priorizadas'!A12</f>
        <v>11</v>
      </c>
      <c r="B12" s="58" t="str">
        <f>'4_Actividades_Priorizadas'!B12</f>
        <v>Artículo #1 MCP</v>
      </c>
      <c r="C12">
        <f t="shared" si="0"/>
        <v>8.2000000000000011</v>
      </c>
      <c r="D12" s="16">
        <f>'4_Actividades_Priorizadas'!J12</f>
        <v>10</v>
      </c>
      <c r="E12" s="16">
        <f>'4_Actividades_Priorizadas'!K12</f>
        <v>6</v>
      </c>
      <c r="F12" s="16">
        <f>'4_Actividades_Priorizadas'!L12</f>
        <v>9</v>
      </c>
    </row>
    <row r="13" spans="1:6" x14ac:dyDescent="0.3">
      <c r="A13" s="58">
        <f>'4_Actividades_Priorizadas'!A13</f>
        <v>12</v>
      </c>
      <c r="B13" s="58" t="str">
        <f>'4_Actividades_Priorizadas'!B13</f>
        <v>Artículo #2 RAG</v>
      </c>
      <c r="C13">
        <f t="shared" si="0"/>
        <v>7.8</v>
      </c>
      <c r="D13" s="16">
        <f>'4_Actividades_Priorizadas'!J13</f>
        <v>9</v>
      </c>
      <c r="E13" s="16">
        <f>'4_Actividades_Priorizadas'!K13</f>
        <v>6</v>
      </c>
      <c r="F13" s="16">
        <f>'4_Actividades_Priorizadas'!L13</f>
        <v>9</v>
      </c>
    </row>
    <row r="14" spans="1:6" x14ac:dyDescent="0.3">
      <c r="A14" s="58">
        <f>'4_Actividades_Priorizadas'!A14</f>
        <v>13</v>
      </c>
      <c r="B14" s="58" t="str">
        <f>'4_Actividades_Priorizadas'!B14</f>
        <v>Google GenAI Fundamentals</v>
      </c>
      <c r="C14">
        <f t="shared" si="0"/>
        <v>7.8</v>
      </c>
      <c r="D14" s="16">
        <f>'4_Actividades_Priorizadas'!J14</f>
        <v>7</v>
      </c>
      <c r="E14" s="16">
        <f>'4_Actividades_Priorizadas'!K14</f>
        <v>8</v>
      </c>
      <c r="F14" s="16">
        <f>'4_Actividades_Priorizadas'!L14</f>
        <v>9</v>
      </c>
    </row>
    <row r="15" spans="1:6" x14ac:dyDescent="0.3">
      <c r="A15" s="58">
        <f>'4_Actividades_Priorizadas'!A15</f>
        <v>14</v>
      </c>
      <c r="B15" s="58" t="str">
        <f>'4_Actividades_Priorizadas'!B15</f>
        <v>Vertex AI Agent Builder</v>
      </c>
      <c r="C15">
        <f t="shared" si="0"/>
        <v>9</v>
      </c>
      <c r="D15" s="16">
        <f>'4_Actividades_Priorizadas'!J15</f>
        <v>10</v>
      </c>
      <c r="E15" s="16">
        <f>'4_Actividades_Priorizadas'!K15</f>
        <v>9</v>
      </c>
      <c r="F15" s="16">
        <f>'4_Actividades_Priorizadas'!L15</f>
        <v>7</v>
      </c>
    </row>
    <row r="16" spans="1:6" x14ac:dyDescent="0.3">
      <c r="A16" s="58">
        <f>'4_Actividades_Priorizadas'!A16</f>
        <v>15</v>
      </c>
      <c r="B16" s="58" t="str">
        <f>'4_Actividades_Priorizadas'!B16</f>
        <v>BigQuery ML Vector Search</v>
      </c>
      <c r="C16">
        <f t="shared" si="0"/>
        <v>9.4</v>
      </c>
      <c r="D16" s="16">
        <f>'4_Actividades_Priorizadas'!J16</f>
        <v>9</v>
      </c>
      <c r="E16" s="16">
        <f>'4_Actividades_Priorizadas'!K16</f>
        <v>10</v>
      </c>
      <c r="F16" s="16">
        <f>'4_Actividades_Priorizadas'!L16</f>
        <v>9</v>
      </c>
    </row>
    <row r="17" spans="1:6" x14ac:dyDescent="0.3">
      <c r="A17" s="58">
        <f>'4_Actividades_Priorizadas'!A17</f>
        <v>16</v>
      </c>
      <c r="B17" s="58" t="str">
        <f>'4_Actividades_Priorizadas'!B17</f>
        <v>Cert. Google ML Engineer</v>
      </c>
      <c r="C17">
        <f t="shared" si="0"/>
        <v>5.8000000000000007</v>
      </c>
      <c r="D17" s="16">
        <f>'4_Actividades_Priorizadas'!J17</f>
        <v>5</v>
      </c>
      <c r="E17" s="16">
        <f>'4_Actividades_Priorizadas'!K17</f>
        <v>7</v>
      </c>
      <c r="F17" s="16">
        <f>'4_Actividades_Priorizadas'!L17</f>
        <v>5</v>
      </c>
    </row>
    <row r="18" spans="1:6" x14ac:dyDescent="0.3">
      <c r="A18" s="58">
        <f>'4_Actividades_Priorizadas'!A18</f>
        <v>17</v>
      </c>
      <c r="B18" s="58" t="str">
        <f>'4_Actividades_Priorizadas'!B18</f>
        <v>Prompt Design Vertex AI</v>
      </c>
      <c r="C18">
        <f t="shared" si="0"/>
        <v>7.8</v>
      </c>
      <c r="D18" s="16">
        <f>'4_Actividades_Priorizadas'!J18</f>
        <v>7</v>
      </c>
      <c r="E18" s="16">
        <f>'4_Actividades_Priorizadas'!K18</f>
        <v>8</v>
      </c>
      <c r="F18" s="16">
        <f>'4_Actividades_Priorizadas'!L18</f>
        <v>9</v>
      </c>
    </row>
    <row r="19" spans="1:6" x14ac:dyDescent="0.3">
      <c r="A19" s="58">
        <f>'4_Actividades_Priorizadas'!A19</f>
        <v>18</v>
      </c>
      <c r="B19" s="58" t="str">
        <f>'4_Actividades_Priorizadas'!B19</f>
        <v>Gemini for Data Scientists</v>
      </c>
      <c r="C19">
        <f t="shared" si="0"/>
        <v>8.8000000000000007</v>
      </c>
      <c r="D19" s="16">
        <f>'4_Actividades_Priorizadas'!J19</f>
        <v>9</v>
      </c>
      <c r="E19" s="16">
        <f>'4_Actividades_Priorizadas'!K19</f>
        <v>9</v>
      </c>
      <c r="F19" s="16">
        <f>'4_Actividades_Priorizadas'!L19</f>
        <v>8</v>
      </c>
    </row>
    <row r="20" spans="1:6" x14ac:dyDescent="0.3">
      <c r="A20" s="58"/>
      <c r="B20" s="58"/>
    </row>
    <row r="21" spans="1:6" x14ac:dyDescent="0.3">
      <c r="B21" s="24"/>
      <c r="C21" s="2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6D1-FA5A-4203-BC76-F5AB63E4016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opLeftCell="A36" workbookViewId="0">
      <selection activeCell="A37" sqref="A37:B39"/>
    </sheetView>
  </sheetViews>
  <sheetFormatPr baseColWidth="10" defaultColWidth="8.88671875" defaultRowHeight="14.4" x14ac:dyDescent="0.3"/>
  <cols>
    <col min="1" max="7" width="20" customWidth="1"/>
  </cols>
  <sheetData>
    <row r="1" spans="1:7" ht="21" x14ac:dyDescent="0.4">
      <c r="A1" s="36" t="s">
        <v>0</v>
      </c>
      <c r="B1" s="37"/>
      <c r="C1" s="37"/>
      <c r="D1" s="37"/>
      <c r="E1" s="37"/>
      <c r="F1" s="37"/>
      <c r="G1" s="37"/>
    </row>
    <row r="3" spans="1:7" ht="17.399999999999999" x14ac:dyDescent="0.35">
      <c r="A3" s="40" t="s">
        <v>1</v>
      </c>
      <c r="B3" s="37"/>
      <c r="C3" s="37"/>
      <c r="D3" s="37"/>
      <c r="E3" s="37"/>
      <c r="F3" s="37"/>
      <c r="G3" s="37"/>
    </row>
    <row r="5" spans="1:7" x14ac:dyDescent="0.3">
      <c r="A5" s="1" t="s">
        <v>2</v>
      </c>
      <c r="B5" s="1" t="s">
        <v>3</v>
      </c>
      <c r="C5" s="1" t="s">
        <v>4</v>
      </c>
    </row>
    <row r="6" spans="1:7" ht="43.2" x14ac:dyDescent="0.3">
      <c r="A6" s="2" t="s">
        <v>5</v>
      </c>
      <c r="B6" s="2" t="s">
        <v>6</v>
      </c>
      <c r="C6" s="2" t="s">
        <v>7</v>
      </c>
    </row>
    <row r="7" spans="1:7" ht="43.2" x14ac:dyDescent="0.3">
      <c r="A7" s="2" t="s">
        <v>8</v>
      </c>
      <c r="B7" s="2" t="s">
        <v>9</v>
      </c>
      <c r="C7" s="2" t="s">
        <v>10</v>
      </c>
    </row>
    <row r="8" spans="1:7" ht="43.2" x14ac:dyDescent="0.3">
      <c r="A8" s="2" t="s">
        <v>11</v>
      </c>
      <c r="B8" s="2" t="s">
        <v>12</v>
      </c>
      <c r="C8" s="2" t="s">
        <v>13</v>
      </c>
    </row>
    <row r="9" spans="1:7" ht="43.2" x14ac:dyDescent="0.3">
      <c r="A9" s="2" t="s">
        <v>14</v>
      </c>
      <c r="B9" s="2" t="s">
        <v>15</v>
      </c>
      <c r="C9" s="2" t="s">
        <v>16</v>
      </c>
    </row>
    <row r="10" spans="1:7" ht="43.2" x14ac:dyDescent="0.3">
      <c r="A10" s="2" t="s">
        <v>17</v>
      </c>
      <c r="B10" s="2" t="s">
        <v>18</v>
      </c>
      <c r="C10" s="2" t="s">
        <v>19</v>
      </c>
    </row>
    <row r="11" spans="1:7" ht="43.2" x14ac:dyDescent="0.3">
      <c r="A11" s="2" t="s">
        <v>20</v>
      </c>
      <c r="B11" s="2" t="s">
        <v>21</v>
      </c>
      <c r="C11" s="2" t="s">
        <v>22</v>
      </c>
    </row>
    <row r="12" spans="1:7" ht="43.2" x14ac:dyDescent="0.3">
      <c r="A12" s="2" t="s">
        <v>23</v>
      </c>
      <c r="B12" s="2" t="s">
        <v>24</v>
      </c>
      <c r="C12" s="2" t="s">
        <v>25</v>
      </c>
    </row>
    <row r="13" spans="1:7" ht="28.8" x14ac:dyDescent="0.3">
      <c r="A13" s="2" t="s">
        <v>26</v>
      </c>
      <c r="B13" s="2" t="s">
        <v>27</v>
      </c>
      <c r="C13" s="2" t="s">
        <v>28</v>
      </c>
    </row>
    <row r="14" spans="1:7" ht="28.8" x14ac:dyDescent="0.3">
      <c r="A14" s="2" t="s">
        <v>29</v>
      </c>
      <c r="B14" s="2" t="s">
        <v>30</v>
      </c>
      <c r="C14" s="2" t="s">
        <v>31</v>
      </c>
    </row>
    <row r="16" spans="1:7" ht="17.399999999999999" x14ac:dyDescent="0.35">
      <c r="A16" s="42" t="s">
        <v>32</v>
      </c>
      <c r="B16" s="37"/>
      <c r="C16" s="37"/>
      <c r="D16" s="37"/>
      <c r="E16" s="37"/>
      <c r="F16" s="37"/>
      <c r="G16" s="37"/>
    </row>
    <row r="18" spans="1:7" x14ac:dyDescent="0.3">
      <c r="A18" s="1" t="s">
        <v>33</v>
      </c>
      <c r="B18" s="1" t="s">
        <v>34</v>
      </c>
      <c r="C18" s="1" t="s">
        <v>35</v>
      </c>
      <c r="D18" s="1" t="s">
        <v>36</v>
      </c>
    </row>
    <row r="19" spans="1:7" ht="28.8" x14ac:dyDescent="0.3">
      <c r="A19" s="2" t="s">
        <v>37</v>
      </c>
      <c r="B19" s="2" t="s">
        <v>38</v>
      </c>
      <c r="C19" s="2" t="s">
        <v>39</v>
      </c>
      <c r="D19" s="2" t="s">
        <v>40</v>
      </c>
    </row>
    <row r="20" spans="1:7" ht="28.8" x14ac:dyDescent="0.3">
      <c r="A20" s="2" t="s">
        <v>41</v>
      </c>
      <c r="B20" s="2" t="s">
        <v>42</v>
      </c>
      <c r="C20" s="2" t="s">
        <v>39</v>
      </c>
      <c r="D20" s="2" t="s">
        <v>40</v>
      </c>
    </row>
    <row r="21" spans="1:7" ht="43.2" x14ac:dyDescent="0.3">
      <c r="A21" s="2" t="s">
        <v>43</v>
      </c>
      <c r="B21" s="2" t="s">
        <v>44</v>
      </c>
      <c r="C21" s="2" t="s">
        <v>45</v>
      </c>
      <c r="D21" s="2" t="s">
        <v>46</v>
      </c>
    </row>
    <row r="22" spans="1:7" ht="28.8" x14ac:dyDescent="0.3">
      <c r="A22" s="2" t="s">
        <v>47</v>
      </c>
      <c r="B22" s="2" t="s">
        <v>48</v>
      </c>
      <c r="C22" s="2" t="s">
        <v>49</v>
      </c>
      <c r="D22" s="2" t="s">
        <v>50</v>
      </c>
    </row>
    <row r="23" spans="1:7" ht="28.8" x14ac:dyDescent="0.3">
      <c r="A23" s="2" t="s">
        <v>51</v>
      </c>
      <c r="B23" s="2" t="s">
        <v>52</v>
      </c>
      <c r="C23" s="2" t="s">
        <v>53</v>
      </c>
      <c r="D23" s="2" t="s">
        <v>54</v>
      </c>
    </row>
    <row r="24" spans="1:7" ht="28.8" x14ac:dyDescent="0.3">
      <c r="A24" s="2" t="s">
        <v>55</v>
      </c>
      <c r="B24" s="2" t="s">
        <v>56</v>
      </c>
      <c r="C24" s="2" t="s">
        <v>53</v>
      </c>
      <c r="D24" s="2" t="s">
        <v>57</v>
      </c>
    </row>
    <row r="25" spans="1:7" ht="28.8" x14ac:dyDescent="0.3">
      <c r="A25" s="2" t="s">
        <v>58</v>
      </c>
      <c r="B25" s="2" t="s">
        <v>59</v>
      </c>
      <c r="C25" s="2" t="s">
        <v>60</v>
      </c>
      <c r="D25" s="2" t="s">
        <v>61</v>
      </c>
    </row>
    <row r="26" spans="1:7" x14ac:dyDescent="0.3">
      <c r="A26" s="2" t="s">
        <v>62</v>
      </c>
      <c r="B26" s="2" t="s">
        <v>63</v>
      </c>
      <c r="C26" s="2" t="s">
        <v>64</v>
      </c>
      <c r="D26" s="2" t="s">
        <v>65</v>
      </c>
    </row>
    <row r="27" spans="1:7" ht="28.8" x14ac:dyDescent="0.3">
      <c r="A27" s="2" t="s">
        <v>66</v>
      </c>
      <c r="B27" s="2" t="s">
        <v>67</v>
      </c>
      <c r="C27" s="2" t="s">
        <v>68</v>
      </c>
      <c r="D27" s="2" t="s">
        <v>69</v>
      </c>
    </row>
    <row r="30" spans="1:7" ht="17.399999999999999" x14ac:dyDescent="0.35">
      <c r="A30" s="41" t="s">
        <v>70</v>
      </c>
      <c r="B30" s="37"/>
      <c r="C30" s="37"/>
      <c r="D30" s="37"/>
      <c r="E30" s="37"/>
      <c r="F30" s="37"/>
      <c r="G30" s="37"/>
    </row>
    <row r="32" spans="1:7" x14ac:dyDescent="0.3">
      <c r="A32" s="1" t="s">
        <v>71</v>
      </c>
      <c r="B32" s="1" t="s">
        <v>72</v>
      </c>
      <c r="C32" s="1" t="s">
        <v>34</v>
      </c>
    </row>
    <row r="33" spans="1:7" ht="24" x14ac:dyDescent="0.3">
      <c r="A33" s="2" t="s">
        <v>73</v>
      </c>
      <c r="B33" s="21" t="s">
        <v>380</v>
      </c>
      <c r="C33" s="2" t="s">
        <v>74</v>
      </c>
    </row>
    <row r="34" spans="1:7" x14ac:dyDescent="0.3">
      <c r="A34" s="2" t="s">
        <v>75</v>
      </c>
      <c r="B34" s="21" t="s">
        <v>381</v>
      </c>
      <c r="C34" s="2" t="s">
        <v>76</v>
      </c>
    </row>
    <row r="35" spans="1:7" x14ac:dyDescent="0.3">
      <c r="A35" s="2" t="s">
        <v>77</v>
      </c>
      <c r="B35" s="21" t="s">
        <v>382</v>
      </c>
      <c r="C35" s="2" t="s">
        <v>78</v>
      </c>
    </row>
    <row r="36" spans="1:7" ht="36" x14ac:dyDescent="0.3">
      <c r="A36" s="2" t="s">
        <v>79</v>
      </c>
      <c r="B36" s="23" t="s">
        <v>386</v>
      </c>
      <c r="C36" s="2" t="s">
        <v>80</v>
      </c>
    </row>
    <row r="37" spans="1:7" x14ac:dyDescent="0.3">
      <c r="A37" s="2" t="s">
        <v>81</v>
      </c>
      <c r="B37" s="22" t="s">
        <v>385</v>
      </c>
      <c r="C37" s="2" t="s">
        <v>82</v>
      </c>
    </row>
    <row r="38" spans="1:7" ht="72" x14ac:dyDescent="0.3">
      <c r="A38" s="2" t="s">
        <v>83</v>
      </c>
      <c r="B38" s="23" t="s">
        <v>383</v>
      </c>
      <c r="C38" s="2" t="s">
        <v>84</v>
      </c>
    </row>
    <row r="39" spans="1:7" ht="60" x14ac:dyDescent="0.3">
      <c r="A39" s="2" t="s">
        <v>85</v>
      </c>
      <c r="B39" s="21" t="s">
        <v>384</v>
      </c>
      <c r="C39" s="2" t="s">
        <v>86</v>
      </c>
    </row>
    <row r="42" spans="1:7" ht="17.399999999999999" x14ac:dyDescent="0.35">
      <c r="A42" s="45" t="s">
        <v>87</v>
      </c>
      <c r="B42" s="37"/>
      <c r="C42" s="37"/>
      <c r="D42" s="37"/>
      <c r="E42" s="37"/>
      <c r="F42" s="37"/>
      <c r="G42" s="37"/>
    </row>
    <row r="44" spans="1:7" x14ac:dyDescent="0.3">
      <c r="A44" t="s">
        <v>88</v>
      </c>
      <c r="B44" s="39" t="s">
        <v>89</v>
      </c>
      <c r="C44" s="37"/>
      <c r="D44" s="37"/>
      <c r="E44" s="37"/>
      <c r="F44" s="37"/>
      <c r="G44" s="37"/>
    </row>
    <row r="45" spans="1:7" x14ac:dyDescent="0.3">
      <c r="A45" t="s">
        <v>90</v>
      </c>
      <c r="B45" s="37" t="s">
        <v>91</v>
      </c>
      <c r="C45" s="37"/>
      <c r="D45" s="37"/>
      <c r="E45" s="37"/>
      <c r="F45" s="37"/>
      <c r="G45" s="37"/>
    </row>
    <row r="46" spans="1:7" x14ac:dyDescent="0.3">
      <c r="A46" t="s">
        <v>92</v>
      </c>
      <c r="B46" s="38" t="s">
        <v>93</v>
      </c>
      <c r="C46" s="37"/>
      <c r="D46" s="37"/>
      <c r="E46" s="37"/>
      <c r="F46" s="37"/>
      <c r="G46" s="37"/>
    </row>
    <row r="47" spans="1:7" x14ac:dyDescent="0.3">
      <c r="A47" t="s">
        <v>94</v>
      </c>
      <c r="B47" s="39" t="s">
        <v>95</v>
      </c>
      <c r="C47" s="37"/>
      <c r="D47" s="37"/>
      <c r="E47" s="37"/>
      <c r="F47" s="37"/>
      <c r="G47" s="37"/>
    </row>
    <row r="49" spans="1:7" ht="17.399999999999999" x14ac:dyDescent="0.35">
      <c r="A49" s="44" t="s">
        <v>96</v>
      </c>
      <c r="B49" s="37"/>
      <c r="C49" s="37"/>
      <c r="D49" s="37"/>
      <c r="E49" s="37"/>
      <c r="F49" s="37"/>
      <c r="G49" s="37"/>
    </row>
    <row r="51" spans="1:7" x14ac:dyDescent="0.3">
      <c r="A51" s="39" t="s">
        <v>97</v>
      </c>
      <c r="B51" s="37"/>
      <c r="C51" s="37"/>
      <c r="D51" s="37"/>
      <c r="E51" s="37"/>
      <c r="F51" s="37"/>
      <c r="G51" s="37"/>
    </row>
    <row r="52" spans="1:7" x14ac:dyDescent="0.3">
      <c r="A52" s="39" t="s">
        <v>98</v>
      </c>
      <c r="B52" s="37"/>
      <c r="C52" s="37"/>
      <c r="D52" s="37"/>
      <c r="E52" s="37"/>
      <c r="F52" s="37"/>
      <c r="G52" s="37"/>
    </row>
    <row r="53" spans="1:7" x14ac:dyDescent="0.3">
      <c r="A53" s="39" t="s">
        <v>99</v>
      </c>
      <c r="B53" s="37"/>
      <c r="C53" s="37"/>
      <c r="D53" s="37"/>
      <c r="E53" s="37"/>
      <c r="F53" s="37"/>
      <c r="G53" s="37"/>
    </row>
    <row r="54" spans="1:7" x14ac:dyDescent="0.3">
      <c r="A54" s="39" t="s">
        <v>100</v>
      </c>
      <c r="B54" s="37"/>
      <c r="C54" s="37"/>
      <c r="D54" s="37"/>
      <c r="E54" s="37"/>
      <c r="F54" s="37"/>
      <c r="G54" s="37"/>
    </row>
    <row r="55" spans="1:7" x14ac:dyDescent="0.3">
      <c r="A55" s="39" t="s">
        <v>101</v>
      </c>
      <c r="B55" s="37"/>
      <c r="C55" s="37"/>
      <c r="D55" s="37"/>
      <c r="E55" s="37"/>
      <c r="F55" s="37"/>
      <c r="G55" s="37"/>
    </row>
    <row r="56" spans="1:7" x14ac:dyDescent="0.3">
      <c r="A56" s="39" t="s">
        <v>102</v>
      </c>
      <c r="B56" s="37"/>
      <c r="C56" s="37"/>
      <c r="D56" s="37"/>
      <c r="E56" s="37"/>
      <c r="F56" s="37"/>
      <c r="G56" s="37"/>
    </row>
    <row r="59" spans="1:7" ht="17.399999999999999" x14ac:dyDescent="0.35">
      <c r="A59" s="43" t="s">
        <v>103</v>
      </c>
      <c r="B59" s="37"/>
      <c r="C59" s="37"/>
      <c r="D59" s="37"/>
      <c r="E59" s="37"/>
      <c r="F59" s="37"/>
      <c r="G59" s="37"/>
    </row>
    <row r="61" spans="1:7" x14ac:dyDescent="0.3">
      <c r="A61" s="3" t="s">
        <v>104</v>
      </c>
    </row>
    <row r="62" spans="1:7" x14ac:dyDescent="0.3">
      <c r="A62" t="s">
        <v>105</v>
      </c>
    </row>
    <row r="63" spans="1:7" x14ac:dyDescent="0.3">
      <c r="A63" t="s">
        <v>106</v>
      </c>
    </row>
    <row r="64" spans="1:7" x14ac:dyDescent="0.3">
      <c r="A64" t="s">
        <v>107</v>
      </c>
    </row>
    <row r="66" spans="1:1" x14ac:dyDescent="0.3">
      <c r="A66" s="4" t="s">
        <v>108</v>
      </c>
    </row>
    <row r="67" spans="1:1" x14ac:dyDescent="0.3">
      <c r="A67" t="s">
        <v>109</v>
      </c>
    </row>
    <row r="68" spans="1:1" x14ac:dyDescent="0.3">
      <c r="A68" t="s">
        <v>110</v>
      </c>
    </row>
    <row r="69" spans="1:1" x14ac:dyDescent="0.3">
      <c r="A69" t="s">
        <v>111</v>
      </c>
    </row>
  </sheetData>
  <mergeCells count="17">
    <mergeCell ref="A59:G59"/>
    <mergeCell ref="B44:G44"/>
    <mergeCell ref="A49:G49"/>
    <mergeCell ref="A42:G42"/>
    <mergeCell ref="B47:G47"/>
    <mergeCell ref="A1:G1"/>
    <mergeCell ref="B46:G46"/>
    <mergeCell ref="A56:G56"/>
    <mergeCell ref="A51:G51"/>
    <mergeCell ref="A3:G3"/>
    <mergeCell ref="B45:G45"/>
    <mergeCell ref="A53:G53"/>
    <mergeCell ref="A55:G55"/>
    <mergeCell ref="A30:G30"/>
    <mergeCell ref="A16:G16"/>
    <mergeCell ref="A54:G54"/>
    <mergeCell ref="A52:G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E21" sqref="E21"/>
    </sheetView>
  </sheetViews>
  <sheetFormatPr baseColWidth="10" defaultColWidth="8.88671875" defaultRowHeight="14.4" x14ac:dyDescent="0.3"/>
  <cols>
    <col min="1" max="1" width="30" customWidth="1"/>
    <col min="2" max="2" width="15" customWidth="1"/>
    <col min="4" max="4" width="41.33203125" bestFit="1" customWidth="1"/>
    <col min="5" max="5" width="15.6640625" bestFit="1" customWidth="1"/>
  </cols>
  <sheetData>
    <row r="1" spans="1:5" ht="21" x14ac:dyDescent="0.4">
      <c r="A1" s="46" t="s">
        <v>112</v>
      </c>
      <c r="B1" s="37"/>
      <c r="C1" s="37"/>
      <c r="D1" s="37"/>
    </row>
    <row r="3" spans="1:5" ht="15.6" x14ac:dyDescent="0.3">
      <c r="A3" s="47" t="s">
        <v>113</v>
      </c>
      <c r="B3" s="37"/>
      <c r="C3" s="37"/>
      <c r="D3" s="37"/>
    </row>
    <row r="4" spans="1:5" x14ac:dyDescent="0.3">
      <c r="A4" t="s">
        <v>388</v>
      </c>
      <c r="B4" s="5">
        <v>70000</v>
      </c>
    </row>
    <row r="5" spans="1:5" x14ac:dyDescent="0.3">
      <c r="A5" t="s">
        <v>114</v>
      </c>
      <c r="B5" s="5">
        <v>44000</v>
      </c>
    </row>
    <row r="6" spans="1:5" x14ac:dyDescent="0.3">
      <c r="A6" t="s">
        <v>389</v>
      </c>
      <c r="B6" s="5">
        <v>30</v>
      </c>
    </row>
    <row r="7" spans="1:5" x14ac:dyDescent="0.3">
      <c r="A7" t="s">
        <v>115</v>
      </c>
      <c r="B7" s="6">
        <v>23.15</v>
      </c>
    </row>
    <row r="9" spans="1:5" x14ac:dyDescent="0.3">
      <c r="D9" t="s">
        <v>387</v>
      </c>
      <c r="E9" s="25">
        <f>B4*(1-B6/100)</f>
        <v>49000</v>
      </c>
    </row>
    <row r="10" spans="1:5" x14ac:dyDescent="0.3">
      <c r="A10" t="s">
        <v>392</v>
      </c>
      <c r="B10" s="27">
        <f>B4*(1-B6/100)/2080</f>
        <v>23.557692307692307</v>
      </c>
      <c r="D10" t="s">
        <v>391</v>
      </c>
      <c r="E10" s="25">
        <f>B5*(1-B7/100)</f>
        <v>33814</v>
      </c>
    </row>
    <row r="11" spans="1:5" x14ac:dyDescent="0.3">
      <c r="A11" t="s">
        <v>116</v>
      </c>
      <c r="B11" s="7">
        <f>B5*(1-B7/100)/2080</f>
        <v>16.256730769230771</v>
      </c>
      <c r="D11" t="s">
        <v>390</v>
      </c>
      <c r="E11" s="26">
        <f>(B4-B5)/B5</f>
        <v>0.59090909090909094</v>
      </c>
    </row>
    <row r="13" spans="1:5" ht="15.6" x14ac:dyDescent="0.3">
      <c r="A13" s="47" t="s">
        <v>117</v>
      </c>
      <c r="B13" s="37"/>
      <c r="C13" s="37"/>
      <c r="D13" s="37"/>
    </row>
    <row r="15" spans="1:5" x14ac:dyDescent="0.3">
      <c r="A15" t="s">
        <v>118</v>
      </c>
      <c r="B15" s="6">
        <v>1</v>
      </c>
    </row>
    <row r="16" spans="1:5" x14ac:dyDescent="0.3">
      <c r="A16" t="s">
        <v>119</v>
      </c>
      <c r="B16" s="6">
        <v>90</v>
      </c>
    </row>
    <row r="17" spans="1:5" x14ac:dyDescent="0.3">
      <c r="A17" t="s">
        <v>120</v>
      </c>
      <c r="B17" s="6">
        <v>0</v>
      </c>
    </row>
    <row r="18" spans="1:5" x14ac:dyDescent="0.3">
      <c r="A18" t="s">
        <v>121</v>
      </c>
      <c r="B18" s="6">
        <v>0</v>
      </c>
    </row>
    <row r="19" spans="1:5" x14ac:dyDescent="0.3">
      <c r="A19" t="s">
        <v>122</v>
      </c>
      <c r="B19" s="6">
        <v>1</v>
      </c>
    </row>
    <row r="21" spans="1:5" x14ac:dyDescent="0.3">
      <c r="A21" t="s">
        <v>123</v>
      </c>
      <c r="B21" s="8">
        <f>B16+B17-B18</f>
        <v>90</v>
      </c>
      <c r="D21" t="s">
        <v>393</v>
      </c>
      <c r="E21" s="7">
        <f>B22*B11</f>
        <v>1463.1057692307693</v>
      </c>
    </row>
    <row r="22" spans="1:5" x14ac:dyDescent="0.3">
      <c r="A22" t="s">
        <v>396</v>
      </c>
      <c r="B22" s="9">
        <f>B15*B21</f>
        <v>90</v>
      </c>
      <c r="E22" s="28"/>
    </row>
    <row r="23" spans="1:5" x14ac:dyDescent="0.3">
      <c r="A23" t="s">
        <v>395</v>
      </c>
      <c r="B23" s="8">
        <f>ROUNDUP(B22/7,0)</f>
        <v>13</v>
      </c>
      <c r="E23" s="28"/>
    </row>
    <row r="24" spans="1:5" x14ac:dyDescent="0.3">
      <c r="E24" s="28"/>
    </row>
    <row r="25" spans="1:5" ht="15.6" x14ac:dyDescent="0.3">
      <c r="A25" s="47" t="s">
        <v>124</v>
      </c>
      <c r="B25" s="37"/>
      <c r="C25" s="37"/>
      <c r="D25" s="37"/>
      <c r="E25" s="28"/>
    </row>
    <row r="26" spans="1:5" x14ac:dyDescent="0.3">
      <c r="E26" s="28"/>
    </row>
    <row r="27" spans="1:5" x14ac:dyDescent="0.3">
      <c r="A27" t="s">
        <v>125</v>
      </c>
      <c r="B27" s="6">
        <v>0</v>
      </c>
      <c r="E27" s="28"/>
    </row>
    <row r="28" spans="1:5" x14ac:dyDescent="0.3">
      <c r="A28" t="s">
        <v>126</v>
      </c>
      <c r="B28" s="6">
        <v>600</v>
      </c>
      <c r="E28" s="28"/>
    </row>
    <row r="29" spans="1:5" ht="18" x14ac:dyDescent="0.35">
      <c r="A29" t="s">
        <v>127</v>
      </c>
      <c r="B29" s="9">
        <f>B27+B28</f>
        <v>600</v>
      </c>
      <c r="D29" s="30" t="s">
        <v>394</v>
      </c>
      <c r="E29" s="29">
        <f>E21+B29</f>
        <v>2063.1057692307695</v>
      </c>
    </row>
  </sheetData>
  <mergeCells count="4">
    <mergeCell ref="A1:D1"/>
    <mergeCell ref="A25:D25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E5" sqref="E5"/>
    </sheetView>
  </sheetViews>
  <sheetFormatPr baseColWidth="10" defaultColWidth="8.88671875" defaultRowHeight="14.4" x14ac:dyDescent="0.3"/>
  <cols>
    <col min="1" max="8" width="18" customWidth="1"/>
  </cols>
  <sheetData>
    <row r="1" spans="1:8" ht="18" x14ac:dyDescent="0.35">
      <c r="A1" s="48" t="s">
        <v>128</v>
      </c>
      <c r="B1" s="37"/>
      <c r="C1" s="37"/>
      <c r="D1" s="37"/>
      <c r="E1" s="37"/>
      <c r="F1" s="37"/>
      <c r="G1" s="37"/>
      <c r="H1" s="37"/>
    </row>
    <row r="3" spans="1:8" x14ac:dyDescent="0.3">
      <c r="A3" s="10" t="s">
        <v>129</v>
      </c>
      <c r="B3" s="10" t="s">
        <v>130</v>
      </c>
      <c r="C3" s="10" t="s">
        <v>131</v>
      </c>
      <c r="D3" s="10" t="s">
        <v>132</v>
      </c>
      <c r="E3" s="10" t="s">
        <v>85</v>
      </c>
      <c r="F3" s="10" t="s">
        <v>133</v>
      </c>
      <c r="G3" s="10" t="s">
        <v>134</v>
      </c>
      <c r="H3" s="10" t="s">
        <v>135</v>
      </c>
    </row>
    <row r="4" spans="1:8" ht="28.8" x14ac:dyDescent="0.3">
      <c r="A4" s="2" t="s">
        <v>136</v>
      </c>
      <c r="B4" s="2" t="s">
        <v>137</v>
      </c>
      <c r="C4" s="2" t="s">
        <v>138</v>
      </c>
      <c r="D4" s="2" t="s">
        <v>139</v>
      </c>
      <c r="E4" s="11">
        <v>90</v>
      </c>
      <c r="F4" s="2" t="s">
        <v>140</v>
      </c>
      <c r="G4" s="2" t="s">
        <v>141</v>
      </c>
      <c r="H4" s="2" t="s">
        <v>142</v>
      </c>
    </row>
    <row r="5" spans="1:8" x14ac:dyDescent="0.3">
      <c r="A5" s="2" t="s">
        <v>143</v>
      </c>
      <c r="B5" s="2" t="s">
        <v>144</v>
      </c>
      <c r="C5" s="2" t="s">
        <v>145</v>
      </c>
      <c r="D5" s="2" t="s">
        <v>146</v>
      </c>
      <c r="E5" s="11">
        <v>85</v>
      </c>
      <c r="F5" s="2" t="s">
        <v>147</v>
      </c>
      <c r="G5" s="2" t="s">
        <v>148</v>
      </c>
      <c r="H5" s="2" t="s">
        <v>142</v>
      </c>
    </row>
    <row r="6" spans="1:8" x14ac:dyDescent="0.3">
      <c r="A6" s="2" t="s">
        <v>149</v>
      </c>
      <c r="B6" s="2" t="s">
        <v>150</v>
      </c>
      <c r="C6" s="2" t="s">
        <v>151</v>
      </c>
      <c r="D6" s="2" t="s">
        <v>152</v>
      </c>
      <c r="E6" s="12">
        <v>80</v>
      </c>
      <c r="F6" s="2" t="s">
        <v>153</v>
      </c>
      <c r="G6" s="2" t="s">
        <v>148</v>
      </c>
      <c r="H6" s="2" t="s">
        <v>154</v>
      </c>
    </row>
    <row r="7" spans="1:8" x14ac:dyDescent="0.3">
      <c r="A7" s="2" t="s">
        <v>155</v>
      </c>
      <c r="B7" s="2" t="s">
        <v>156</v>
      </c>
      <c r="C7" s="2" t="s">
        <v>157</v>
      </c>
      <c r="D7" s="2" t="s">
        <v>158</v>
      </c>
      <c r="E7" s="12">
        <v>75</v>
      </c>
      <c r="F7" s="2" t="s">
        <v>159</v>
      </c>
      <c r="G7" s="2" t="s">
        <v>148</v>
      </c>
      <c r="H7" s="2" t="s">
        <v>154</v>
      </c>
    </row>
    <row r="8" spans="1:8" x14ac:dyDescent="0.3">
      <c r="A8" s="2" t="s">
        <v>160</v>
      </c>
      <c r="B8" s="2" t="s">
        <v>161</v>
      </c>
      <c r="C8" s="2" t="s">
        <v>162</v>
      </c>
      <c r="D8" s="2" t="s">
        <v>163</v>
      </c>
      <c r="E8" s="12">
        <v>70</v>
      </c>
      <c r="F8" s="2" t="s">
        <v>164</v>
      </c>
      <c r="G8" s="2" t="s">
        <v>165</v>
      </c>
      <c r="H8" s="2" t="s">
        <v>166</v>
      </c>
    </row>
    <row r="9" spans="1:8" x14ac:dyDescent="0.3">
      <c r="A9" s="2" t="s">
        <v>167</v>
      </c>
      <c r="B9" s="2" t="s">
        <v>168</v>
      </c>
      <c r="C9" s="2" t="s">
        <v>169</v>
      </c>
      <c r="D9" s="2" t="s">
        <v>170</v>
      </c>
      <c r="E9" s="12">
        <v>65</v>
      </c>
      <c r="F9" s="2" t="s">
        <v>171</v>
      </c>
      <c r="G9" s="2" t="s">
        <v>165</v>
      </c>
      <c r="H9" s="2" t="s">
        <v>166</v>
      </c>
    </row>
    <row r="10" spans="1:8" x14ac:dyDescent="0.3">
      <c r="A10" s="2" t="s">
        <v>172</v>
      </c>
      <c r="B10" s="2" t="s">
        <v>173</v>
      </c>
      <c r="C10" s="2" t="s">
        <v>174</v>
      </c>
      <c r="D10" s="2" t="s">
        <v>175</v>
      </c>
      <c r="E10" s="12">
        <v>60</v>
      </c>
      <c r="F10" s="2" t="s">
        <v>176</v>
      </c>
      <c r="G10" s="2" t="s">
        <v>177</v>
      </c>
      <c r="H10" s="2" t="s">
        <v>166</v>
      </c>
    </row>
    <row r="11" spans="1:8" x14ac:dyDescent="0.3">
      <c r="A11" s="2" t="s">
        <v>178</v>
      </c>
      <c r="B11" s="2" t="s">
        <v>179</v>
      </c>
      <c r="C11" s="2" t="s">
        <v>180</v>
      </c>
      <c r="D11" s="2" t="s">
        <v>181</v>
      </c>
      <c r="E11" s="2">
        <v>50</v>
      </c>
      <c r="F11" s="2" t="s">
        <v>182</v>
      </c>
      <c r="G11" s="2" t="s">
        <v>177</v>
      </c>
      <c r="H11" s="2" t="s">
        <v>183</v>
      </c>
    </row>
    <row r="12" spans="1:8" x14ac:dyDescent="0.3">
      <c r="A12" s="2" t="s">
        <v>184</v>
      </c>
      <c r="B12" s="2" t="s">
        <v>185</v>
      </c>
      <c r="C12" s="2" t="s">
        <v>186</v>
      </c>
      <c r="D12" s="2" t="s">
        <v>187</v>
      </c>
      <c r="E12" s="2">
        <v>40</v>
      </c>
      <c r="F12" s="2" t="s">
        <v>188</v>
      </c>
      <c r="G12" s="2" t="s">
        <v>189</v>
      </c>
      <c r="H12" s="2" t="s">
        <v>183</v>
      </c>
    </row>
    <row r="14" spans="1:8" ht="17.399999999999999" x14ac:dyDescent="0.35">
      <c r="A14" s="45" t="s">
        <v>190</v>
      </c>
      <c r="B14" s="37"/>
      <c r="C14" s="37"/>
      <c r="D14" s="37"/>
      <c r="E14" s="37"/>
      <c r="F14" s="37"/>
      <c r="G14" s="37"/>
      <c r="H14" s="37"/>
    </row>
    <row r="16" spans="1:8" x14ac:dyDescent="0.3">
      <c r="A16" s="13" t="s">
        <v>191</v>
      </c>
      <c r="B16" s="13" t="s">
        <v>192</v>
      </c>
      <c r="C16" s="13" t="s">
        <v>193</v>
      </c>
      <c r="D16" s="13" t="s">
        <v>194</v>
      </c>
      <c r="E16" s="13" t="s">
        <v>195</v>
      </c>
      <c r="F16" s="13" t="s">
        <v>196</v>
      </c>
    </row>
    <row r="17" spans="1:6" ht="28.8" x14ac:dyDescent="0.3">
      <c r="A17" s="2" t="s">
        <v>197</v>
      </c>
      <c r="B17" s="2" t="s">
        <v>198</v>
      </c>
      <c r="C17" s="2" t="s">
        <v>199</v>
      </c>
      <c r="D17" s="2" t="s">
        <v>200</v>
      </c>
      <c r="E17" s="2" t="s">
        <v>201</v>
      </c>
      <c r="F17" s="11" t="s">
        <v>202</v>
      </c>
    </row>
    <row r="18" spans="1:6" x14ac:dyDescent="0.3">
      <c r="A18" s="2" t="s">
        <v>203</v>
      </c>
      <c r="B18" s="2" t="s">
        <v>198</v>
      </c>
      <c r="C18" s="2" t="s">
        <v>204</v>
      </c>
      <c r="D18" s="2" t="s">
        <v>200</v>
      </c>
      <c r="E18" s="2" t="s">
        <v>205</v>
      </c>
      <c r="F18" s="11" t="s">
        <v>206</v>
      </c>
    </row>
    <row r="19" spans="1:6" x14ac:dyDescent="0.3">
      <c r="A19" s="2" t="s">
        <v>207</v>
      </c>
      <c r="B19" s="2" t="s">
        <v>208</v>
      </c>
      <c r="C19" s="2" t="s">
        <v>209</v>
      </c>
      <c r="D19" s="2" t="s">
        <v>210</v>
      </c>
      <c r="E19" s="2" t="s">
        <v>211</v>
      </c>
      <c r="F19" s="2" t="s">
        <v>212</v>
      </c>
    </row>
    <row r="20" spans="1:6" x14ac:dyDescent="0.3">
      <c r="A20" s="2" t="s">
        <v>213</v>
      </c>
      <c r="B20" s="2" t="s">
        <v>198</v>
      </c>
      <c r="C20" s="2" t="s">
        <v>214</v>
      </c>
      <c r="D20" s="2" t="s">
        <v>200</v>
      </c>
      <c r="E20" s="2" t="s">
        <v>215</v>
      </c>
      <c r="F20" s="2" t="s">
        <v>212</v>
      </c>
    </row>
    <row r="21" spans="1:6" x14ac:dyDescent="0.3">
      <c r="A21" s="2" t="s">
        <v>216</v>
      </c>
      <c r="B21" s="2" t="s">
        <v>217</v>
      </c>
      <c r="C21" s="2" t="s">
        <v>209</v>
      </c>
      <c r="D21" s="2" t="s">
        <v>210</v>
      </c>
      <c r="E21" s="2" t="s">
        <v>218</v>
      </c>
      <c r="F21" s="2" t="s">
        <v>212</v>
      </c>
    </row>
    <row r="22" spans="1:6" x14ac:dyDescent="0.3">
      <c r="A22" s="2" t="s">
        <v>219</v>
      </c>
      <c r="B22" s="2" t="s">
        <v>220</v>
      </c>
      <c r="C22" s="2" t="s">
        <v>221</v>
      </c>
      <c r="D22" s="2" t="s">
        <v>222</v>
      </c>
      <c r="E22" s="2" t="s">
        <v>223</v>
      </c>
      <c r="F22" s="2" t="s">
        <v>224</v>
      </c>
    </row>
  </sheetData>
  <mergeCells count="2">
    <mergeCell ref="A14:H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sqref="A1:F1"/>
    </sheetView>
  </sheetViews>
  <sheetFormatPr baseColWidth="10" defaultColWidth="8.88671875" defaultRowHeight="14.4" x14ac:dyDescent="0.3"/>
  <cols>
    <col min="1" max="6" width="22" customWidth="1"/>
  </cols>
  <sheetData>
    <row r="1" spans="1:6" ht="18" x14ac:dyDescent="0.35">
      <c r="A1" s="48" t="s">
        <v>225</v>
      </c>
      <c r="B1" s="37"/>
      <c r="C1" s="37"/>
      <c r="D1" s="37"/>
      <c r="E1" s="37"/>
      <c r="F1" s="37"/>
    </row>
    <row r="3" spans="1:6" x14ac:dyDescent="0.3">
      <c r="A3" s="49" t="s">
        <v>226</v>
      </c>
      <c r="B3" s="37"/>
      <c r="C3" s="37"/>
      <c r="D3" s="37"/>
      <c r="E3" s="37"/>
      <c r="F3" s="37"/>
    </row>
    <row r="5" spans="1:6" x14ac:dyDescent="0.3">
      <c r="A5" s="13" t="s">
        <v>227</v>
      </c>
      <c r="B5" s="13" t="s">
        <v>228</v>
      </c>
      <c r="C5" s="13" t="s">
        <v>229</v>
      </c>
      <c r="D5" s="13" t="s">
        <v>230</v>
      </c>
      <c r="E5" s="13" t="s">
        <v>231</v>
      </c>
      <c r="F5" s="13" t="s">
        <v>232</v>
      </c>
    </row>
    <row r="6" spans="1:6" x14ac:dyDescent="0.3">
      <c r="A6" s="2" t="s">
        <v>233</v>
      </c>
      <c r="B6" s="2" t="s">
        <v>234</v>
      </c>
      <c r="C6" s="2" t="s">
        <v>235</v>
      </c>
      <c r="D6" s="2" t="s">
        <v>236</v>
      </c>
      <c r="E6" s="14" t="s">
        <v>237</v>
      </c>
      <c r="F6" s="2" t="s">
        <v>238</v>
      </c>
    </row>
    <row r="7" spans="1:6" x14ac:dyDescent="0.3">
      <c r="A7" s="2" t="s">
        <v>233</v>
      </c>
      <c r="B7" s="2" t="s">
        <v>239</v>
      </c>
      <c r="C7" s="2" t="s">
        <v>240</v>
      </c>
      <c r="D7" s="2" t="s">
        <v>241</v>
      </c>
      <c r="E7" s="2" t="s">
        <v>165</v>
      </c>
      <c r="F7" s="2" t="s">
        <v>242</v>
      </c>
    </row>
    <row r="8" spans="1:6" x14ac:dyDescent="0.3">
      <c r="A8" s="2" t="s">
        <v>243</v>
      </c>
      <c r="B8" s="2" t="s">
        <v>244</v>
      </c>
      <c r="C8" s="2" t="s">
        <v>245</v>
      </c>
      <c r="D8" s="2" t="s">
        <v>246</v>
      </c>
      <c r="E8" s="2" t="s">
        <v>165</v>
      </c>
      <c r="F8" s="2" t="s">
        <v>247</v>
      </c>
    </row>
    <row r="9" spans="1:6" x14ac:dyDescent="0.3">
      <c r="A9" s="2" t="s">
        <v>243</v>
      </c>
      <c r="B9" s="2" t="s">
        <v>248</v>
      </c>
      <c r="C9" s="2" t="s">
        <v>249</v>
      </c>
      <c r="D9" s="2" t="s">
        <v>241</v>
      </c>
      <c r="E9" s="12" t="s">
        <v>148</v>
      </c>
      <c r="F9" s="2" t="s">
        <v>250</v>
      </c>
    </row>
    <row r="10" spans="1:6" x14ac:dyDescent="0.3">
      <c r="A10" s="2" t="s">
        <v>251</v>
      </c>
      <c r="B10" s="2" t="s">
        <v>252</v>
      </c>
      <c r="C10" s="2" t="s">
        <v>253</v>
      </c>
      <c r="D10" s="2" t="s">
        <v>254</v>
      </c>
      <c r="E10" s="14" t="s">
        <v>237</v>
      </c>
      <c r="F10" s="2" t="s">
        <v>255</v>
      </c>
    </row>
    <row r="11" spans="1:6" x14ac:dyDescent="0.3">
      <c r="A11" s="2" t="s">
        <v>251</v>
      </c>
      <c r="B11" s="2" t="s">
        <v>256</v>
      </c>
      <c r="C11" s="2" t="s">
        <v>257</v>
      </c>
      <c r="D11" s="2" t="s">
        <v>258</v>
      </c>
      <c r="E11" s="12" t="s">
        <v>148</v>
      </c>
      <c r="F11" s="2" t="s">
        <v>259</v>
      </c>
    </row>
    <row r="14" spans="1:6" x14ac:dyDescent="0.3">
      <c r="A14" s="49" t="s">
        <v>260</v>
      </c>
      <c r="B14" s="37"/>
      <c r="C14" s="37"/>
      <c r="D14" s="37"/>
      <c r="E14" s="37"/>
      <c r="F14" s="37"/>
    </row>
    <row r="16" spans="1:6" x14ac:dyDescent="0.3">
      <c r="A16" s="1" t="s">
        <v>261</v>
      </c>
      <c r="B16" s="1" t="s">
        <v>262</v>
      </c>
      <c r="C16" s="1" t="s">
        <v>263</v>
      </c>
      <c r="D16" s="1" t="s">
        <v>264</v>
      </c>
    </row>
    <row r="17" spans="1:4" x14ac:dyDescent="0.3">
      <c r="A17" s="2" t="s">
        <v>265</v>
      </c>
      <c r="B17" s="2" t="s">
        <v>266</v>
      </c>
      <c r="C17" s="2" t="s">
        <v>267</v>
      </c>
      <c r="D17" s="2" t="s">
        <v>268</v>
      </c>
    </row>
    <row r="18" spans="1:4" ht="28.8" x14ac:dyDescent="0.3">
      <c r="A18" s="2" t="s">
        <v>269</v>
      </c>
      <c r="B18" s="2" t="s">
        <v>270</v>
      </c>
      <c r="C18" s="2" t="s">
        <v>271</v>
      </c>
      <c r="D18" s="2" t="s">
        <v>272</v>
      </c>
    </row>
    <row r="19" spans="1:4" x14ac:dyDescent="0.3">
      <c r="A19" s="2" t="s">
        <v>273</v>
      </c>
      <c r="B19" s="2" t="s">
        <v>274</v>
      </c>
      <c r="C19" s="2" t="s">
        <v>275</v>
      </c>
      <c r="D19" s="2" t="s">
        <v>276</v>
      </c>
    </row>
    <row r="20" spans="1:4" ht="28.8" x14ac:dyDescent="0.3">
      <c r="A20" s="2" t="s">
        <v>277</v>
      </c>
      <c r="B20" s="2" t="s">
        <v>278</v>
      </c>
      <c r="C20" s="2" t="s">
        <v>279</v>
      </c>
      <c r="D20" s="2" t="s">
        <v>280</v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H2" sqref="H2:H14"/>
    </sheetView>
  </sheetViews>
  <sheetFormatPr baseColWidth="10" defaultColWidth="8.88671875" defaultRowHeight="14.4" x14ac:dyDescent="0.3"/>
  <cols>
    <col min="1" max="1" width="12" customWidth="1"/>
    <col min="2" max="2" width="31" bestFit="1" customWidth="1"/>
    <col min="3" max="6" width="12" customWidth="1"/>
    <col min="8" max="8" width="10.77734375" bestFit="1" customWidth="1"/>
  </cols>
  <sheetData>
    <row r="1" spans="1:8" x14ac:dyDescent="0.3">
      <c r="A1" s="15" t="s">
        <v>397</v>
      </c>
      <c r="B1" s="15" t="s">
        <v>282</v>
      </c>
      <c r="C1" s="15" t="s">
        <v>283</v>
      </c>
      <c r="D1" s="15" t="s">
        <v>284</v>
      </c>
      <c r="E1" s="15" t="s">
        <v>194</v>
      </c>
      <c r="F1" s="15" t="s">
        <v>315</v>
      </c>
      <c r="G1" s="31" t="s">
        <v>398</v>
      </c>
      <c r="H1" s="31" t="s">
        <v>399</v>
      </c>
    </row>
    <row r="2" spans="1:8" x14ac:dyDescent="0.3">
      <c r="A2">
        <v>1</v>
      </c>
      <c r="B2" t="s">
        <v>287</v>
      </c>
      <c r="C2" t="s">
        <v>288</v>
      </c>
      <c r="D2">
        <v>30</v>
      </c>
      <c r="E2">
        <v>50</v>
      </c>
      <c r="F2" s="16">
        <v>7.5</v>
      </c>
      <c r="G2">
        <v>2</v>
      </c>
      <c r="H2">
        <v>0.8</v>
      </c>
    </row>
    <row r="3" spans="1:8" x14ac:dyDescent="0.3">
      <c r="A3">
        <v>2</v>
      </c>
      <c r="B3" t="s">
        <v>204</v>
      </c>
      <c r="C3" t="s">
        <v>290</v>
      </c>
      <c r="D3">
        <v>20</v>
      </c>
      <c r="E3">
        <v>0</v>
      </c>
      <c r="F3" s="16">
        <v>7.3500000000000005</v>
      </c>
      <c r="G3">
        <v>0</v>
      </c>
      <c r="H3">
        <v>1</v>
      </c>
    </row>
    <row r="4" spans="1:8" x14ac:dyDescent="0.3">
      <c r="A4">
        <v>3</v>
      </c>
      <c r="B4" t="s">
        <v>292</v>
      </c>
      <c r="C4" t="s">
        <v>288</v>
      </c>
      <c r="D4">
        <v>15</v>
      </c>
      <c r="E4">
        <v>0</v>
      </c>
      <c r="F4" s="16">
        <v>7.1999999999999993</v>
      </c>
      <c r="G4">
        <v>0</v>
      </c>
      <c r="H4">
        <v>1</v>
      </c>
    </row>
    <row r="5" spans="1:8" x14ac:dyDescent="0.3">
      <c r="A5">
        <v>4</v>
      </c>
      <c r="B5" t="s">
        <v>269</v>
      </c>
      <c r="C5" t="s">
        <v>288</v>
      </c>
      <c r="D5">
        <v>20</v>
      </c>
      <c r="E5">
        <v>50</v>
      </c>
      <c r="F5" s="16">
        <v>7.0500000000000007</v>
      </c>
      <c r="G5">
        <v>2</v>
      </c>
      <c r="H5">
        <v>0.9</v>
      </c>
    </row>
    <row r="6" spans="1:8" x14ac:dyDescent="0.3">
      <c r="A6">
        <v>11</v>
      </c>
      <c r="B6" t="s">
        <v>304</v>
      </c>
      <c r="C6" t="s">
        <v>305</v>
      </c>
      <c r="D6">
        <v>2.5</v>
      </c>
      <c r="E6">
        <v>0</v>
      </c>
      <c r="F6" s="16">
        <v>5.25</v>
      </c>
      <c r="G6">
        <v>1</v>
      </c>
      <c r="H6">
        <v>1</v>
      </c>
    </row>
    <row r="7" spans="1:8" x14ac:dyDescent="0.3">
      <c r="A7">
        <v>12</v>
      </c>
      <c r="B7" t="s">
        <v>307</v>
      </c>
      <c r="C7" t="s">
        <v>305</v>
      </c>
      <c r="D7">
        <v>2.5</v>
      </c>
      <c r="E7">
        <v>0</v>
      </c>
      <c r="F7" s="16">
        <v>5.25</v>
      </c>
      <c r="G7">
        <v>4</v>
      </c>
      <c r="H7">
        <v>1</v>
      </c>
    </row>
    <row r="8" spans="1:8" x14ac:dyDescent="0.3">
      <c r="A8">
        <v>6</v>
      </c>
      <c r="B8" t="s">
        <v>277</v>
      </c>
      <c r="C8" t="s">
        <v>288</v>
      </c>
      <c r="D8">
        <v>12</v>
      </c>
      <c r="E8">
        <v>20</v>
      </c>
      <c r="F8" s="16">
        <v>5.04</v>
      </c>
      <c r="G8">
        <v>0</v>
      </c>
      <c r="H8">
        <v>1</v>
      </c>
    </row>
    <row r="9" spans="1:8" x14ac:dyDescent="0.3">
      <c r="A9">
        <v>7</v>
      </c>
      <c r="B9" t="s">
        <v>299</v>
      </c>
      <c r="C9" t="s">
        <v>288</v>
      </c>
      <c r="D9">
        <v>8</v>
      </c>
      <c r="E9">
        <v>0</v>
      </c>
      <c r="F9" s="16">
        <v>4.8</v>
      </c>
      <c r="G9">
        <v>0</v>
      </c>
      <c r="H9">
        <v>1</v>
      </c>
    </row>
    <row r="10" spans="1:8" x14ac:dyDescent="0.3">
      <c r="A10">
        <v>8</v>
      </c>
      <c r="B10" t="s">
        <v>301</v>
      </c>
      <c r="C10" t="s">
        <v>296</v>
      </c>
      <c r="D10">
        <v>80</v>
      </c>
      <c r="E10">
        <v>165</v>
      </c>
      <c r="F10" s="16">
        <v>4.5</v>
      </c>
      <c r="G10">
        <v>0</v>
      </c>
      <c r="H10">
        <v>0.5</v>
      </c>
    </row>
    <row r="11" spans="1:8" x14ac:dyDescent="0.3">
      <c r="A11">
        <v>9</v>
      </c>
      <c r="B11" t="s">
        <v>302</v>
      </c>
      <c r="C11" t="s">
        <v>296</v>
      </c>
      <c r="D11">
        <v>100</v>
      </c>
      <c r="E11">
        <v>200</v>
      </c>
      <c r="F11" s="16">
        <v>4.3</v>
      </c>
      <c r="G11">
        <v>0</v>
      </c>
      <c r="H11">
        <v>0.4</v>
      </c>
    </row>
    <row r="12" spans="1:8" x14ac:dyDescent="0.3">
      <c r="A12">
        <v>10</v>
      </c>
      <c r="B12" t="s">
        <v>303</v>
      </c>
      <c r="C12" t="s">
        <v>296</v>
      </c>
      <c r="D12">
        <v>60</v>
      </c>
      <c r="E12">
        <v>165</v>
      </c>
      <c r="F12" s="16">
        <v>4.0999999999999996</v>
      </c>
      <c r="G12">
        <v>0</v>
      </c>
      <c r="H12">
        <v>0.6</v>
      </c>
    </row>
    <row r="13" spans="1:8" x14ac:dyDescent="0.3">
      <c r="A13">
        <v>5</v>
      </c>
      <c r="B13" t="s">
        <v>295</v>
      </c>
      <c r="C13" t="s">
        <v>296</v>
      </c>
      <c r="D13">
        <v>16</v>
      </c>
      <c r="E13">
        <v>0</v>
      </c>
      <c r="F13" s="16">
        <v>3.8</v>
      </c>
      <c r="G13">
        <v>0</v>
      </c>
      <c r="H13">
        <v>1</v>
      </c>
    </row>
    <row r="14" spans="1:8" x14ac:dyDescent="0.3">
      <c r="A14">
        <v>13</v>
      </c>
      <c r="B14" t="s">
        <v>400</v>
      </c>
      <c r="C14" t="s">
        <v>401</v>
      </c>
      <c r="D14">
        <v>10</v>
      </c>
      <c r="E14">
        <v>0</v>
      </c>
      <c r="F14" s="16">
        <v>3.9</v>
      </c>
      <c r="G14">
        <v>1</v>
      </c>
      <c r="H14">
        <v>0.7</v>
      </c>
    </row>
    <row r="21" spans="2:6" x14ac:dyDescent="0.3">
      <c r="B21" s="24"/>
      <c r="C21" s="24"/>
      <c r="D21" s="24"/>
      <c r="E21" s="24"/>
      <c r="F21" s="24"/>
    </row>
  </sheetData>
  <sortState xmlns:xlrd2="http://schemas.microsoft.com/office/spreadsheetml/2017/richdata2" ref="A2:F13">
    <sortCondition descending="1" ref="F1:F13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F78E-7490-4FBE-953D-912AAA47FE7A}">
  <dimension ref="A1:L19"/>
  <sheetViews>
    <sheetView tabSelected="1" workbookViewId="0">
      <selection activeCell="F15" sqref="F15"/>
    </sheetView>
  </sheetViews>
  <sheetFormatPr baseColWidth="10" defaultRowHeight="14.4" x14ac:dyDescent="0.3"/>
  <sheetData>
    <row r="1" spans="1:12" x14ac:dyDescent="0.3">
      <c r="A1" s="32" t="s">
        <v>397</v>
      </c>
      <c r="B1" s="32" t="s">
        <v>282</v>
      </c>
      <c r="C1" s="32" t="s">
        <v>283</v>
      </c>
      <c r="D1" s="32" t="s">
        <v>284</v>
      </c>
      <c r="E1" s="32" t="s">
        <v>194</v>
      </c>
      <c r="F1" s="32" t="s">
        <v>398</v>
      </c>
      <c r="G1" s="32" t="s">
        <v>399</v>
      </c>
      <c r="H1" s="32" t="s">
        <v>402</v>
      </c>
      <c r="I1" s="32" t="s">
        <v>403</v>
      </c>
      <c r="J1" s="32" t="s">
        <v>404</v>
      </c>
      <c r="K1" s="32" t="s">
        <v>405</v>
      </c>
      <c r="L1" s="32" t="s">
        <v>406</v>
      </c>
    </row>
    <row r="2" spans="1:12" x14ac:dyDescent="0.3">
      <c r="A2" s="33">
        <v>1</v>
      </c>
      <c r="B2" s="34" t="s">
        <v>287</v>
      </c>
      <c r="C2" s="34" t="s">
        <v>288</v>
      </c>
      <c r="D2" s="33">
        <v>30</v>
      </c>
      <c r="E2" s="33">
        <v>50</v>
      </c>
      <c r="F2" s="33">
        <v>2</v>
      </c>
      <c r="G2" s="35">
        <v>0.8</v>
      </c>
      <c r="H2" s="33">
        <v>1</v>
      </c>
      <c r="I2" s="34" t="s">
        <v>407</v>
      </c>
      <c r="J2" s="33">
        <v>10</v>
      </c>
      <c r="K2" s="33">
        <v>9</v>
      </c>
      <c r="L2" s="33">
        <v>8</v>
      </c>
    </row>
    <row r="3" spans="1:12" x14ac:dyDescent="0.3">
      <c r="A3" s="33">
        <v>2</v>
      </c>
      <c r="B3" s="34" t="s">
        <v>204</v>
      </c>
      <c r="C3" s="34" t="s">
        <v>290</v>
      </c>
      <c r="D3" s="33">
        <v>20</v>
      </c>
      <c r="E3" s="33">
        <v>0</v>
      </c>
      <c r="F3" s="33">
        <v>0</v>
      </c>
      <c r="G3" s="35">
        <v>1</v>
      </c>
      <c r="H3" s="33">
        <v>1</v>
      </c>
      <c r="I3" s="34" t="s">
        <v>407</v>
      </c>
      <c r="J3" s="33">
        <v>10</v>
      </c>
      <c r="K3" s="33">
        <v>10</v>
      </c>
      <c r="L3" s="33">
        <v>9</v>
      </c>
    </row>
    <row r="4" spans="1:12" x14ac:dyDescent="0.3">
      <c r="A4" s="33">
        <v>3</v>
      </c>
      <c r="B4" s="34" t="s">
        <v>292</v>
      </c>
      <c r="C4" s="34" t="s">
        <v>288</v>
      </c>
      <c r="D4" s="33">
        <v>15</v>
      </c>
      <c r="E4" s="33">
        <v>0</v>
      </c>
      <c r="F4" s="33">
        <v>0</v>
      </c>
      <c r="G4" s="35">
        <v>1</v>
      </c>
      <c r="H4" s="33">
        <v>4</v>
      </c>
      <c r="I4" s="34" t="s">
        <v>408</v>
      </c>
      <c r="J4" s="33">
        <v>7</v>
      </c>
      <c r="K4" s="33">
        <v>8</v>
      </c>
      <c r="L4" s="33">
        <v>8</v>
      </c>
    </row>
    <row r="5" spans="1:12" x14ac:dyDescent="0.3">
      <c r="A5" s="33">
        <v>4</v>
      </c>
      <c r="B5" s="34" t="s">
        <v>269</v>
      </c>
      <c r="C5" s="34" t="s">
        <v>288</v>
      </c>
      <c r="D5" s="33">
        <v>20</v>
      </c>
      <c r="E5" s="33">
        <v>50</v>
      </c>
      <c r="F5" s="33">
        <v>2</v>
      </c>
      <c r="G5" s="35">
        <v>0.9</v>
      </c>
      <c r="H5" s="33">
        <v>3</v>
      </c>
      <c r="I5" s="34" t="s">
        <v>409</v>
      </c>
      <c r="J5" s="33">
        <v>9</v>
      </c>
      <c r="K5" s="33">
        <v>10</v>
      </c>
      <c r="L5" s="33">
        <v>9</v>
      </c>
    </row>
    <row r="6" spans="1:12" x14ac:dyDescent="0.3">
      <c r="A6" s="33">
        <v>5</v>
      </c>
      <c r="B6" s="34" t="s">
        <v>295</v>
      </c>
      <c r="C6" s="34" t="s">
        <v>296</v>
      </c>
      <c r="D6" s="33">
        <v>15</v>
      </c>
      <c r="E6" s="33">
        <v>0</v>
      </c>
      <c r="F6" s="33">
        <v>0</v>
      </c>
      <c r="G6" s="35">
        <v>0.95</v>
      </c>
      <c r="H6" s="33">
        <v>3</v>
      </c>
      <c r="I6" s="34" t="s">
        <v>409</v>
      </c>
      <c r="J6" s="33">
        <v>9</v>
      </c>
      <c r="K6" s="33">
        <v>8</v>
      </c>
      <c r="L6" s="33">
        <v>10</v>
      </c>
    </row>
    <row r="7" spans="1:12" x14ac:dyDescent="0.3">
      <c r="A7" s="33">
        <v>6</v>
      </c>
      <c r="B7" s="34" t="s">
        <v>277</v>
      </c>
      <c r="C7" s="34" t="s">
        <v>288</v>
      </c>
      <c r="D7" s="33">
        <v>12</v>
      </c>
      <c r="E7" s="33">
        <v>20</v>
      </c>
      <c r="F7" s="33">
        <v>0</v>
      </c>
      <c r="G7" s="35">
        <v>1</v>
      </c>
      <c r="H7" s="33">
        <v>1</v>
      </c>
      <c r="I7" s="34" t="s">
        <v>407</v>
      </c>
      <c r="J7" s="33">
        <v>10</v>
      </c>
      <c r="K7" s="33">
        <v>7</v>
      </c>
      <c r="L7" s="33">
        <v>9</v>
      </c>
    </row>
    <row r="8" spans="1:12" x14ac:dyDescent="0.3">
      <c r="A8" s="33">
        <v>7</v>
      </c>
      <c r="B8" s="34" t="s">
        <v>299</v>
      </c>
      <c r="C8" s="34" t="s">
        <v>288</v>
      </c>
      <c r="D8" s="33">
        <v>8</v>
      </c>
      <c r="E8" s="33">
        <v>0</v>
      </c>
      <c r="F8" s="33">
        <v>2</v>
      </c>
      <c r="G8" s="35">
        <v>0.9</v>
      </c>
      <c r="H8" s="33">
        <v>2</v>
      </c>
      <c r="I8" s="34" t="s">
        <v>410</v>
      </c>
      <c r="J8" s="33">
        <v>9</v>
      </c>
      <c r="K8" s="33">
        <v>9</v>
      </c>
      <c r="L8" s="33">
        <v>7</v>
      </c>
    </row>
    <row r="9" spans="1:12" x14ac:dyDescent="0.3">
      <c r="A9" s="33">
        <v>8</v>
      </c>
      <c r="B9" s="34" t="s">
        <v>301</v>
      </c>
      <c r="C9" s="34" t="s">
        <v>296</v>
      </c>
      <c r="D9" s="33">
        <v>80</v>
      </c>
      <c r="E9" s="33">
        <v>165</v>
      </c>
      <c r="F9" s="33">
        <v>0</v>
      </c>
      <c r="G9" s="35">
        <v>0.5</v>
      </c>
      <c r="H9" s="33">
        <v>5</v>
      </c>
      <c r="I9" s="34" t="s">
        <v>411</v>
      </c>
      <c r="J9" s="33">
        <v>5</v>
      </c>
      <c r="K9" s="33">
        <v>6</v>
      </c>
      <c r="L9" s="33">
        <v>6</v>
      </c>
    </row>
    <row r="10" spans="1:12" x14ac:dyDescent="0.3">
      <c r="A10" s="33">
        <v>9</v>
      </c>
      <c r="B10" s="34" t="s">
        <v>302</v>
      </c>
      <c r="C10" s="34" t="s">
        <v>296</v>
      </c>
      <c r="D10" s="33">
        <v>100</v>
      </c>
      <c r="E10" s="33">
        <v>200</v>
      </c>
      <c r="F10" s="33">
        <v>0</v>
      </c>
      <c r="G10" s="35">
        <v>0.4</v>
      </c>
      <c r="H10" s="33">
        <v>5</v>
      </c>
      <c r="I10" s="34" t="s">
        <v>411</v>
      </c>
      <c r="J10" s="33">
        <v>5</v>
      </c>
      <c r="K10" s="33">
        <v>6</v>
      </c>
      <c r="L10" s="33">
        <v>5</v>
      </c>
    </row>
    <row r="11" spans="1:12" x14ac:dyDescent="0.3">
      <c r="A11" s="33">
        <v>10</v>
      </c>
      <c r="B11" s="34" t="s">
        <v>412</v>
      </c>
      <c r="C11" s="34" t="s">
        <v>305</v>
      </c>
      <c r="D11" s="33">
        <v>1</v>
      </c>
      <c r="E11" s="33">
        <v>0</v>
      </c>
      <c r="F11" s="33">
        <v>0</v>
      </c>
      <c r="G11" s="35">
        <v>1</v>
      </c>
      <c r="H11" s="33">
        <v>2</v>
      </c>
      <c r="I11" s="34" t="s">
        <v>410</v>
      </c>
      <c r="J11" s="33">
        <v>9</v>
      </c>
      <c r="K11" s="33">
        <v>4</v>
      </c>
      <c r="L11" s="33">
        <v>10</v>
      </c>
    </row>
    <row r="12" spans="1:12" x14ac:dyDescent="0.3">
      <c r="A12" s="33">
        <v>11</v>
      </c>
      <c r="B12" s="34" t="s">
        <v>304</v>
      </c>
      <c r="C12" s="34" t="s">
        <v>305</v>
      </c>
      <c r="D12" s="33">
        <v>3</v>
      </c>
      <c r="E12" s="33">
        <v>0</v>
      </c>
      <c r="F12" s="33">
        <v>1</v>
      </c>
      <c r="G12" s="35">
        <v>0.95</v>
      </c>
      <c r="H12" s="33">
        <v>1</v>
      </c>
      <c r="I12" s="34" t="s">
        <v>407</v>
      </c>
      <c r="J12" s="33">
        <v>10</v>
      </c>
      <c r="K12" s="33">
        <v>6</v>
      </c>
      <c r="L12" s="33">
        <v>9</v>
      </c>
    </row>
    <row r="13" spans="1:12" x14ac:dyDescent="0.3">
      <c r="A13" s="33">
        <v>12</v>
      </c>
      <c r="B13" s="34" t="s">
        <v>307</v>
      </c>
      <c r="C13" s="34" t="s">
        <v>305</v>
      </c>
      <c r="D13" s="33">
        <v>3</v>
      </c>
      <c r="E13" s="33">
        <v>0</v>
      </c>
      <c r="F13" s="33">
        <v>4</v>
      </c>
      <c r="G13" s="35">
        <v>0.95</v>
      </c>
      <c r="H13" s="33">
        <v>3</v>
      </c>
      <c r="I13" s="34" t="s">
        <v>409</v>
      </c>
      <c r="J13" s="33">
        <v>9</v>
      </c>
      <c r="K13" s="33">
        <v>6</v>
      </c>
      <c r="L13" s="33">
        <v>9</v>
      </c>
    </row>
    <row r="14" spans="1:12" x14ac:dyDescent="0.3">
      <c r="A14" s="33">
        <v>13</v>
      </c>
      <c r="B14" s="34" t="s">
        <v>413</v>
      </c>
      <c r="C14" s="34" t="s">
        <v>290</v>
      </c>
      <c r="D14" s="33">
        <v>10</v>
      </c>
      <c r="E14" s="33">
        <v>0</v>
      </c>
      <c r="F14" s="33">
        <v>0</v>
      </c>
      <c r="G14" s="35">
        <v>1</v>
      </c>
      <c r="H14" s="33">
        <v>4</v>
      </c>
      <c r="I14" s="34" t="s">
        <v>408</v>
      </c>
      <c r="J14" s="33">
        <v>7</v>
      </c>
      <c r="K14" s="33">
        <v>8</v>
      </c>
      <c r="L14" s="33">
        <v>9</v>
      </c>
    </row>
    <row r="15" spans="1:12" x14ac:dyDescent="0.3">
      <c r="A15" s="33">
        <v>14</v>
      </c>
      <c r="B15" s="34" t="s">
        <v>414</v>
      </c>
      <c r="C15" s="34" t="s">
        <v>288</v>
      </c>
      <c r="D15" s="33">
        <v>25</v>
      </c>
      <c r="E15" s="33">
        <v>0</v>
      </c>
      <c r="F15" s="33">
        <v>13</v>
      </c>
      <c r="G15" s="35">
        <v>0.85</v>
      </c>
      <c r="H15" s="33">
        <v>1</v>
      </c>
      <c r="I15" s="34" t="s">
        <v>407</v>
      </c>
      <c r="J15" s="33">
        <v>10</v>
      </c>
      <c r="K15" s="33">
        <v>9</v>
      </c>
      <c r="L15" s="33">
        <v>7</v>
      </c>
    </row>
    <row r="16" spans="1:12" x14ac:dyDescent="0.3">
      <c r="A16" s="33">
        <v>15</v>
      </c>
      <c r="B16" s="34" t="s">
        <v>415</v>
      </c>
      <c r="C16" s="34" t="s">
        <v>288</v>
      </c>
      <c r="D16" s="33">
        <v>20</v>
      </c>
      <c r="E16" s="33">
        <v>0</v>
      </c>
      <c r="F16" s="33">
        <v>0</v>
      </c>
      <c r="G16" s="35">
        <v>0.95</v>
      </c>
      <c r="H16" s="33">
        <v>3</v>
      </c>
      <c r="I16" s="34" t="s">
        <v>409</v>
      </c>
      <c r="J16" s="33">
        <v>9</v>
      </c>
      <c r="K16" s="33">
        <v>10</v>
      </c>
      <c r="L16" s="33">
        <v>9</v>
      </c>
    </row>
    <row r="17" spans="1:12" x14ac:dyDescent="0.3">
      <c r="A17" s="33">
        <v>16</v>
      </c>
      <c r="B17" s="34" t="s">
        <v>416</v>
      </c>
      <c r="C17" s="34" t="s">
        <v>296</v>
      </c>
      <c r="D17" s="33">
        <v>60</v>
      </c>
      <c r="E17" s="33">
        <v>200</v>
      </c>
      <c r="F17" s="33">
        <v>13</v>
      </c>
      <c r="G17" s="35">
        <v>0.5</v>
      </c>
      <c r="H17" s="33">
        <v>5</v>
      </c>
      <c r="I17" s="34" t="s">
        <v>411</v>
      </c>
      <c r="J17" s="33">
        <v>5</v>
      </c>
      <c r="K17" s="33">
        <v>7</v>
      </c>
      <c r="L17" s="33">
        <v>5</v>
      </c>
    </row>
    <row r="18" spans="1:12" x14ac:dyDescent="0.3">
      <c r="A18" s="33">
        <v>17</v>
      </c>
      <c r="B18" s="34" t="s">
        <v>417</v>
      </c>
      <c r="C18" s="34" t="s">
        <v>290</v>
      </c>
      <c r="D18" s="33">
        <v>8</v>
      </c>
      <c r="E18" s="33">
        <v>0</v>
      </c>
      <c r="F18" s="33">
        <v>13</v>
      </c>
      <c r="G18" s="35">
        <v>1</v>
      </c>
      <c r="H18" s="33">
        <v>4</v>
      </c>
      <c r="I18" s="34" t="s">
        <v>408</v>
      </c>
      <c r="J18" s="33">
        <v>7</v>
      </c>
      <c r="K18" s="33">
        <v>8</v>
      </c>
      <c r="L18" s="33">
        <v>9</v>
      </c>
    </row>
    <row r="19" spans="1:12" x14ac:dyDescent="0.3">
      <c r="A19" s="33">
        <v>18</v>
      </c>
      <c r="B19" s="34" t="s">
        <v>418</v>
      </c>
      <c r="C19" s="34" t="s">
        <v>290</v>
      </c>
      <c r="D19" s="33">
        <v>12</v>
      </c>
      <c r="E19" s="33">
        <v>0</v>
      </c>
      <c r="F19" s="33">
        <v>13</v>
      </c>
      <c r="G19" s="35">
        <v>0.95</v>
      </c>
      <c r="H19" s="33">
        <v>3</v>
      </c>
      <c r="I19" s="34" t="s">
        <v>409</v>
      </c>
      <c r="J19" s="33">
        <v>9</v>
      </c>
      <c r="K19" s="33">
        <v>9</v>
      </c>
      <c r="L19" s="33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selection activeCell="F11" sqref="F11:G18"/>
    </sheetView>
  </sheetViews>
  <sheetFormatPr baseColWidth="10" defaultColWidth="8.88671875" defaultRowHeight="14.4" x14ac:dyDescent="0.3"/>
  <cols>
    <col min="9" max="9" width="18" customWidth="1"/>
  </cols>
  <sheetData>
    <row r="1" spans="1:9" ht="18" x14ac:dyDescent="0.35">
      <c r="A1" s="52" t="s">
        <v>309</v>
      </c>
      <c r="B1" s="37"/>
      <c r="C1" s="37"/>
      <c r="D1" s="37"/>
      <c r="E1" s="37"/>
      <c r="F1" s="37"/>
      <c r="G1" s="37"/>
      <c r="H1" s="37"/>
    </row>
    <row r="3" spans="1:9" x14ac:dyDescent="0.3">
      <c r="A3" s="49" t="s">
        <v>310</v>
      </c>
      <c r="B3" s="37"/>
      <c r="C3" s="37"/>
      <c r="D3" s="37"/>
      <c r="E3" s="37"/>
      <c r="F3" s="37"/>
      <c r="G3" s="37"/>
      <c r="H3" s="37"/>
    </row>
    <row r="5" spans="1:9" x14ac:dyDescent="0.3">
      <c r="A5" t="s">
        <v>311</v>
      </c>
      <c r="B5" s="17">
        <f>'1_Panel_Control'!B22</f>
        <v>90</v>
      </c>
      <c r="D5" t="s">
        <v>312</v>
      </c>
      <c r="E5" s="18">
        <f>'1_Panel_Control'!B28</f>
        <v>600</v>
      </c>
    </row>
    <row r="7" spans="1:9" x14ac:dyDescent="0.3">
      <c r="A7" s="51" t="s">
        <v>313</v>
      </c>
      <c r="B7" s="37"/>
      <c r="C7" s="37"/>
      <c r="D7" s="37"/>
      <c r="E7" s="37"/>
      <c r="F7" s="37"/>
      <c r="G7" s="37"/>
      <c r="H7" s="37"/>
    </row>
    <row r="9" spans="1:9" x14ac:dyDescent="0.3">
      <c r="A9" s="49" t="s">
        <v>314</v>
      </c>
      <c r="B9" s="37"/>
      <c r="C9" s="37"/>
      <c r="D9" s="37"/>
      <c r="E9" s="37"/>
      <c r="F9" s="37"/>
      <c r="G9" s="37"/>
      <c r="H9" s="37"/>
    </row>
    <row r="11" spans="1:9" x14ac:dyDescent="0.3">
      <c r="A11" s="13" t="s">
        <v>281</v>
      </c>
      <c r="B11" s="13" t="s">
        <v>282</v>
      </c>
      <c r="C11" s="13" t="s">
        <v>284</v>
      </c>
      <c r="D11" s="13" t="s">
        <v>285</v>
      </c>
      <c r="E11" s="13" t="s">
        <v>315</v>
      </c>
      <c r="F11" s="13" t="s">
        <v>316</v>
      </c>
      <c r="G11" s="13" t="s">
        <v>317</v>
      </c>
      <c r="H11" s="13" t="s">
        <v>318</v>
      </c>
      <c r="I11" s="13" t="s">
        <v>319</v>
      </c>
    </row>
    <row r="12" spans="1:9" x14ac:dyDescent="0.3">
      <c r="A12">
        <v>1</v>
      </c>
      <c r="B12" t="s">
        <v>273</v>
      </c>
      <c r="C12">
        <v>30</v>
      </c>
      <c r="D12">
        <v>50</v>
      </c>
      <c r="E12">
        <v>12.75</v>
      </c>
      <c r="F12">
        <f>C12</f>
        <v>30</v>
      </c>
      <c r="G12">
        <f>D12</f>
        <v>50</v>
      </c>
      <c r="H12" s="3" t="str">
        <f t="shared" ref="H12:H18" si="0">IF(AND(F12&lt;=$B$5,G12&lt;=$E$5),"✅ SÍ","❌ NO")</f>
        <v>✅ SÍ</v>
      </c>
      <c r="I12" s="20" t="str">
        <f t="shared" ref="I12:I18" si="1">IF(H12="✅ SÍ","Ninguna",IF(F12&gt;$B$5,"⏱️ Tiempo",IF(G12&gt;$E$5,"💰 Presupuesto","Ambas")))</f>
        <v>Ninguna</v>
      </c>
    </row>
    <row r="13" spans="1:9" x14ac:dyDescent="0.3">
      <c r="A13">
        <v>2</v>
      </c>
      <c r="B13" t="s">
        <v>204</v>
      </c>
      <c r="C13">
        <v>20</v>
      </c>
      <c r="D13">
        <v>0</v>
      </c>
      <c r="E13">
        <v>11.03</v>
      </c>
      <c r="F13">
        <f t="shared" ref="F13:G18" si="2">F12+C13</f>
        <v>50</v>
      </c>
      <c r="G13">
        <f t="shared" si="2"/>
        <v>50</v>
      </c>
      <c r="H13" s="3" t="str">
        <f t="shared" si="0"/>
        <v>✅ SÍ</v>
      </c>
      <c r="I13" s="20" t="str">
        <f t="shared" si="1"/>
        <v>Ninguna</v>
      </c>
    </row>
    <row r="14" spans="1:9" x14ac:dyDescent="0.3">
      <c r="A14">
        <v>3</v>
      </c>
      <c r="B14" t="s">
        <v>265</v>
      </c>
      <c r="C14">
        <v>15</v>
      </c>
      <c r="D14">
        <v>0</v>
      </c>
      <c r="E14">
        <v>10.8</v>
      </c>
      <c r="F14">
        <f t="shared" si="2"/>
        <v>65</v>
      </c>
      <c r="G14">
        <f t="shared" si="2"/>
        <v>50</v>
      </c>
      <c r="H14" s="3" t="str">
        <f t="shared" si="0"/>
        <v>✅ SÍ</v>
      </c>
      <c r="I14" s="20" t="str">
        <f t="shared" si="1"/>
        <v>Ninguna</v>
      </c>
    </row>
    <row r="15" spans="1:9" x14ac:dyDescent="0.3">
      <c r="A15">
        <v>4</v>
      </c>
      <c r="B15" t="s">
        <v>269</v>
      </c>
      <c r="C15">
        <v>20</v>
      </c>
      <c r="D15">
        <v>50</v>
      </c>
      <c r="E15">
        <v>10.58</v>
      </c>
      <c r="F15">
        <f t="shared" si="2"/>
        <v>85</v>
      </c>
      <c r="G15">
        <f t="shared" si="2"/>
        <v>100</v>
      </c>
      <c r="H15" s="3" t="str">
        <f t="shared" si="0"/>
        <v>✅ SÍ</v>
      </c>
      <c r="I15" s="20" t="str">
        <f t="shared" si="1"/>
        <v>Ninguna</v>
      </c>
    </row>
    <row r="16" spans="1:9" x14ac:dyDescent="0.3">
      <c r="A16">
        <v>5</v>
      </c>
      <c r="B16" t="s">
        <v>277</v>
      </c>
      <c r="C16">
        <v>12</v>
      </c>
      <c r="D16">
        <v>20</v>
      </c>
      <c r="E16">
        <v>6.05</v>
      </c>
      <c r="F16">
        <f t="shared" si="2"/>
        <v>97</v>
      </c>
      <c r="G16">
        <f t="shared" si="2"/>
        <v>120</v>
      </c>
      <c r="H16" s="3" t="str">
        <f t="shared" si="0"/>
        <v>❌ NO</v>
      </c>
      <c r="I16" s="20" t="str">
        <f t="shared" si="1"/>
        <v>⏱️ Tiempo</v>
      </c>
    </row>
    <row r="17" spans="1:9" x14ac:dyDescent="0.3">
      <c r="A17">
        <v>6</v>
      </c>
      <c r="B17" t="s">
        <v>320</v>
      </c>
      <c r="C17">
        <v>8</v>
      </c>
      <c r="D17">
        <v>0</v>
      </c>
      <c r="E17">
        <v>5.76</v>
      </c>
      <c r="F17">
        <f t="shared" si="2"/>
        <v>105</v>
      </c>
      <c r="G17">
        <f t="shared" si="2"/>
        <v>120</v>
      </c>
      <c r="H17" s="3" t="str">
        <f t="shared" si="0"/>
        <v>❌ NO</v>
      </c>
      <c r="I17" s="20" t="str">
        <f t="shared" si="1"/>
        <v>⏱️ Tiempo</v>
      </c>
    </row>
    <row r="18" spans="1:9" x14ac:dyDescent="0.3">
      <c r="A18">
        <v>7</v>
      </c>
      <c r="B18" t="s">
        <v>295</v>
      </c>
      <c r="C18">
        <v>16</v>
      </c>
      <c r="D18">
        <v>0</v>
      </c>
      <c r="E18">
        <v>5.7</v>
      </c>
      <c r="F18">
        <f t="shared" si="2"/>
        <v>121</v>
      </c>
      <c r="G18">
        <f t="shared" si="2"/>
        <v>120</v>
      </c>
      <c r="H18" s="3" t="str">
        <f t="shared" si="0"/>
        <v>❌ NO</v>
      </c>
      <c r="I18" s="20" t="str">
        <f t="shared" si="1"/>
        <v>⏱️ Tiempo</v>
      </c>
    </row>
    <row r="21" spans="1:9" x14ac:dyDescent="0.3">
      <c r="A21" s="50" t="s">
        <v>321</v>
      </c>
      <c r="B21" s="37"/>
      <c r="C21" s="37"/>
      <c r="D21" s="37"/>
      <c r="E21" s="37"/>
      <c r="F21" s="37"/>
      <c r="G21" s="37"/>
      <c r="H21" s="37"/>
    </row>
  </sheetData>
  <mergeCells count="5">
    <mergeCell ref="A9:H9"/>
    <mergeCell ref="A3:H3"/>
    <mergeCell ref="A21:H21"/>
    <mergeCell ref="A7:H7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topLeftCell="A8" workbookViewId="0">
      <selection activeCell="B17" sqref="B17"/>
    </sheetView>
  </sheetViews>
  <sheetFormatPr baseColWidth="10" defaultColWidth="8.88671875" defaultRowHeight="14.4" x14ac:dyDescent="0.3"/>
  <cols>
    <col min="1" max="4" width="32.44140625" customWidth="1"/>
  </cols>
  <sheetData>
    <row r="1" spans="1:5" ht="18" x14ac:dyDescent="0.35">
      <c r="A1" s="53" t="s">
        <v>322</v>
      </c>
      <c r="B1" s="37"/>
      <c r="C1" s="37"/>
      <c r="D1" s="37"/>
      <c r="E1" s="37"/>
    </row>
    <row r="3" spans="1:5" x14ac:dyDescent="0.3">
      <c r="A3" s="54" t="s">
        <v>323</v>
      </c>
      <c r="B3" s="37"/>
      <c r="C3" s="37"/>
      <c r="D3" s="37"/>
      <c r="E3" s="37"/>
    </row>
    <row r="5" spans="1:5" x14ac:dyDescent="0.3">
      <c r="A5" s="49" t="s">
        <v>324</v>
      </c>
      <c r="B5" s="37"/>
      <c r="C5" s="37"/>
      <c r="D5" s="37"/>
      <c r="E5" s="37"/>
    </row>
    <row r="7" spans="1:5" ht="28.8" x14ac:dyDescent="0.3">
      <c r="A7" s="1" t="s">
        <v>325</v>
      </c>
      <c r="B7" s="1" t="s">
        <v>326</v>
      </c>
      <c r="C7" s="1" t="s">
        <v>282</v>
      </c>
      <c r="D7" s="1" t="s">
        <v>327</v>
      </c>
    </row>
    <row r="8" spans="1:5" x14ac:dyDescent="0.3">
      <c r="A8" s="2" t="s">
        <v>306</v>
      </c>
      <c r="B8" s="2" t="s">
        <v>328</v>
      </c>
      <c r="C8" s="2" t="s">
        <v>304</v>
      </c>
      <c r="D8" s="2" t="s">
        <v>329</v>
      </c>
    </row>
    <row r="9" spans="1:5" x14ac:dyDescent="0.3">
      <c r="A9" s="2" t="s">
        <v>330</v>
      </c>
      <c r="B9" s="2" t="s">
        <v>331</v>
      </c>
      <c r="C9" s="2" t="s">
        <v>265</v>
      </c>
      <c r="D9" s="2" t="s">
        <v>332</v>
      </c>
    </row>
    <row r="10" spans="1:5" x14ac:dyDescent="0.3">
      <c r="A10" s="2" t="s">
        <v>308</v>
      </c>
      <c r="B10" s="2" t="s">
        <v>333</v>
      </c>
      <c r="C10" s="2" t="s">
        <v>334</v>
      </c>
      <c r="D10" s="2" t="s">
        <v>335</v>
      </c>
    </row>
    <row r="11" spans="1:5" x14ac:dyDescent="0.3">
      <c r="A11" s="2" t="s">
        <v>336</v>
      </c>
      <c r="B11" s="2" t="s">
        <v>337</v>
      </c>
      <c r="C11" s="2" t="s">
        <v>295</v>
      </c>
      <c r="D11" s="2" t="s">
        <v>338</v>
      </c>
    </row>
    <row r="12" spans="1:5" x14ac:dyDescent="0.3">
      <c r="A12" s="2" t="s">
        <v>339</v>
      </c>
      <c r="B12" s="2" t="s">
        <v>340</v>
      </c>
      <c r="C12" s="2" t="s">
        <v>273</v>
      </c>
      <c r="D12" s="2" t="s">
        <v>341</v>
      </c>
    </row>
    <row r="15" spans="1:5" x14ac:dyDescent="0.3">
      <c r="A15" s="3" t="s">
        <v>342</v>
      </c>
    </row>
    <row r="17" spans="1:2" x14ac:dyDescent="0.3">
      <c r="A17" t="s">
        <v>343</v>
      </c>
      <c r="B17" s="8">
        <f>ROUNDUP('1_Panel_Control'!B21/7,0)</f>
        <v>13</v>
      </c>
    </row>
    <row r="18" spans="1:2" x14ac:dyDescent="0.3">
      <c r="A18" t="s">
        <v>344</v>
      </c>
      <c r="B18" s="17">
        <f>'1_Panel_Control'!B15*7</f>
        <v>7</v>
      </c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topLeftCell="A15" workbookViewId="0">
      <selection activeCell="A32" sqref="A32:F32"/>
    </sheetView>
  </sheetViews>
  <sheetFormatPr baseColWidth="10" defaultColWidth="8.88671875" defaultRowHeight="14.4" x14ac:dyDescent="0.3"/>
  <sheetData>
    <row r="1" spans="1:6" ht="18" x14ac:dyDescent="0.35">
      <c r="A1" s="55" t="s">
        <v>345</v>
      </c>
      <c r="B1" s="37"/>
      <c r="C1" s="37"/>
      <c r="D1" s="37"/>
      <c r="E1" s="37"/>
      <c r="F1" s="37"/>
    </row>
    <row r="3" spans="1:6" x14ac:dyDescent="0.3">
      <c r="A3" s="3" t="s">
        <v>346</v>
      </c>
    </row>
    <row r="5" spans="1:6" x14ac:dyDescent="0.3">
      <c r="A5" s="3" t="s">
        <v>282</v>
      </c>
      <c r="B5" s="3" t="s">
        <v>79</v>
      </c>
      <c r="C5" s="3" t="s">
        <v>347</v>
      </c>
      <c r="D5" s="3" t="s">
        <v>286</v>
      </c>
    </row>
    <row r="6" spans="1:6" x14ac:dyDescent="0.3">
      <c r="A6" t="s">
        <v>287</v>
      </c>
      <c r="B6" t="e">
        <f>'4_Actividades_Priorizadas_old'!#REF!</f>
        <v>#REF!</v>
      </c>
      <c r="C6">
        <v>5</v>
      </c>
      <c r="D6" t="s">
        <v>348</v>
      </c>
    </row>
    <row r="7" spans="1:6" x14ac:dyDescent="0.3">
      <c r="A7" t="s">
        <v>204</v>
      </c>
      <c r="B7" t="e">
        <f>'4_Actividades_Priorizadas_old'!#REF!</f>
        <v>#REF!</v>
      </c>
      <c r="C7">
        <v>4.9000000000000004</v>
      </c>
      <c r="D7" t="s">
        <v>348</v>
      </c>
    </row>
    <row r="8" spans="1:6" x14ac:dyDescent="0.3">
      <c r="A8" t="s">
        <v>292</v>
      </c>
      <c r="B8" t="e">
        <f>'4_Actividades_Priorizadas_old'!#REF!</f>
        <v>#REF!</v>
      </c>
      <c r="C8">
        <v>4.8</v>
      </c>
      <c r="D8" t="s">
        <v>348</v>
      </c>
    </row>
    <row r="9" spans="1:6" x14ac:dyDescent="0.3">
      <c r="A9" t="s">
        <v>269</v>
      </c>
      <c r="B9" t="e">
        <f>'4_Actividades_Priorizadas_old'!#REF!</f>
        <v>#REF!</v>
      </c>
      <c r="C9">
        <v>4.7</v>
      </c>
      <c r="D9" t="s">
        <v>348</v>
      </c>
    </row>
    <row r="10" spans="1:6" x14ac:dyDescent="0.3">
      <c r="A10" t="s">
        <v>295</v>
      </c>
      <c r="B10" t="e">
        <f>'4_Actividades_Priorizadas_old'!#REF!</f>
        <v>#REF!</v>
      </c>
      <c r="C10">
        <v>3.8</v>
      </c>
      <c r="D10" t="s">
        <v>348</v>
      </c>
    </row>
    <row r="11" spans="1:6" x14ac:dyDescent="0.3">
      <c r="A11" t="s">
        <v>277</v>
      </c>
      <c r="B11" t="e">
        <f>'4_Actividades_Priorizadas_old'!#REF!</f>
        <v>#REF!</v>
      </c>
      <c r="C11">
        <v>4.2</v>
      </c>
      <c r="D11" t="s">
        <v>348</v>
      </c>
    </row>
    <row r="12" spans="1:6" x14ac:dyDescent="0.3">
      <c r="A12" t="s">
        <v>299</v>
      </c>
      <c r="B12" t="e">
        <f>'4_Actividades_Priorizadas_old'!#REF!</f>
        <v>#REF!</v>
      </c>
      <c r="C12">
        <v>4</v>
      </c>
      <c r="D12" t="s">
        <v>348</v>
      </c>
    </row>
    <row r="13" spans="1:6" x14ac:dyDescent="0.3">
      <c r="A13" t="s">
        <v>301</v>
      </c>
      <c r="B13" t="e">
        <f>'4_Actividades_Priorizadas_old'!#REF!</f>
        <v>#REF!</v>
      </c>
      <c r="C13">
        <v>4.5</v>
      </c>
      <c r="D13" t="s">
        <v>348</v>
      </c>
    </row>
    <row r="14" spans="1:6" x14ac:dyDescent="0.3">
      <c r="A14" t="s">
        <v>302</v>
      </c>
      <c r="B14" t="e">
        <f>'4_Actividades_Priorizadas_old'!#REF!</f>
        <v>#REF!</v>
      </c>
      <c r="C14">
        <v>4.3</v>
      </c>
      <c r="D14" t="s">
        <v>348</v>
      </c>
    </row>
    <row r="32" spans="1:6" x14ac:dyDescent="0.3">
      <c r="A32" s="56" t="s">
        <v>349</v>
      </c>
      <c r="B32" s="37"/>
      <c r="C32" s="37"/>
      <c r="D32" s="37"/>
      <c r="E32" s="37"/>
      <c r="F32" s="37"/>
    </row>
  </sheetData>
  <mergeCells count="2">
    <mergeCell ref="A1:F1"/>
    <mergeCell ref="A32:F3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2"/>
  <sheetViews>
    <sheetView workbookViewId="0"/>
  </sheetViews>
  <sheetFormatPr baseColWidth="10" defaultColWidth="8.88671875" defaultRowHeight="14.4" x14ac:dyDescent="0.3"/>
  <cols>
    <col min="1" max="5" width="25" customWidth="1"/>
  </cols>
  <sheetData>
    <row r="1" spans="1:5" ht="18" x14ac:dyDescent="0.35">
      <c r="A1" s="57" t="s">
        <v>350</v>
      </c>
      <c r="B1" s="37"/>
      <c r="C1" s="37"/>
      <c r="D1" s="37"/>
      <c r="E1" s="37"/>
    </row>
    <row r="3" spans="1:5" ht="15.6" x14ac:dyDescent="0.3">
      <c r="A3" s="47" t="s">
        <v>351</v>
      </c>
      <c r="B3" s="37"/>
      <c r="C3" s="37"/>
      <c r="D3" s="37"/>
      <c r="E3" s="37"/>
    </row>
    <row r="5" spans="1:5" x14ac:dyDescent="0.3">
      <c r="A5" s="1" t="s">
        <v>325</v>
      </c>
      <c r="B5" s="1" t="s">
        <v>352</v>
      </c>
      <c r="C5" s="1" t="s">
        <v>284</v>
      </c>
      <c r="D5" s="1" t="s">
        <v>285</v>
      </c>
      <c r="E5" s="1" t="s">
        <v>326</v>
      </c>
    </row>
    <row r="6" spans="1:5" x14ac:dyDescent="0.3">
      <c r="A6" s="2" t="s">
        <v>289</v>
      </c>
      <c r="B6" s="2" t="s">
        <v>287</v>
      </c>
      <c r="C6" s="2" t="s">
        <v>201</v>
      </c>
      <c r="D6" s="2" t="s">
        <v>353</v>
      </c>
      <c r="E6" s="2"/>
    </row>
    <row r="7" spans="1:5" x14ac:dyDescent="0.3">
      <c r="A7" s="2" t="s">
        <v>354</v>
      </c>
      <c r="B7" s="2" t="s">
        <v>355</v>
      </c>
      <c r="C7" s="2" t="s">
        <v>356</v>
      </c>
      <c r="D7" s="2" t="s">
        <v>200</v>
      </c>
      <c r="E7" s="2"/>
    </row>
    <row r="8" spans="1:5" x14ac:dyDescent="0.3">
      <c r="A8" s="2" t="s">
        <v>291</v>
      </c>
      <c r="B8" s="2" t="s">
        <v>204</v>
      </c>
      <c r="C8" s="2" t="s">
        <v>205</v>
      </c>
      <c r="D8" s="2" t="s">
        <v>200</v>
      </c>
      <c r="E8" s="2"/>
    </row>
    <row r="9" spans="1:5" x14ac:dyDescent="0.3">
      <c r="A9" s="12" t="s">
        <v>306</v>
      </c>
      <c r="B9" s="12" t="s">
        <v>357</v>
      </c>
      <c r="C9" s="12" t="s">
        <v>358</v>
      </c>
      <c r="D9" s="12" t="s">
        <v>200</v>
      </c>
      <c r="E9" s="12" t="s">
        <v>359</v>
      </c>
    </row>
    <row r="10" spans="1:5" x14ac:dyDescent="0.3">
      <c r="A10" s="2" t="s">
        <v>293</v>
      </c>
      <c r="B10" s="2" t="s">
        <v>292</v>
      </c>
      <c r="C10" s="2" t="s">
        <v>360</v>
      </c>
      <c r="D10" s="2" t="s">
        <v>200</v>
      </c>
      <c r="E10" s="2"/>
    </row>
    <row r="11" spans="1:5" x14ac:dyDescent="0.3">
      <c r="A11" s="2" t="s">
        <v>294</v>
      </c>
      <c r="B11" s="2" t="s">
        <v>269</v>
      </c>
      <c r="C11" s="2" t="s">
        <v>205</v>
      </c>
      <c r="D11" s="2" t="s">
        <v>353</v>
      </c>
      <c r="E11" s="2"/>
    </row>
    <row r="12" spans="1:5" x14ac:dyDescent="0.3">
      <c r="A12" s="12" t="s">
        <v>330</v>
      </c>
      <c r="B12" s="12"/>
      <c r="C12" s="12"/>
      <c r="D12" s="12"/>
      <c r="E12" s="12" t="s">
        <v>361</v>
      </c>
    </row>
    <row r="13" spans="1:5" x14ac:dyDescent="0.3">
      <c r="A13" s="2" t="s">
        <v>297</v>
      </c>
      <c r="B13" s="2" t="s">
        <v>295</v>
      </c>
      <c r="C13" s="2" t="s">
        <v>362</v>
      </c>
      <c r="D13" s="2" t="s">
        <v>200</v>
      </c>
      <c r="E13" s="2"/>
    </row>
    <row r="14" spans="1:5" x14ac:dyDescent="0.3">
      <c r="A14" s="12" t="s">
        <v>308</v>
      </c>
      <c r="B14" s="12" t="s">
        <v>363</v>
      </c>
      <c r="C14" s="12" t="s">
        <v>358</v>
      </c>
      <c r="D14" s="12" t="s">
        <v>200</v>
      </c>
      <c r="E14" s="12" t="s">
        <v>333</v>
      </c>
    </row>
    <row r="15" spans="1:5" x14ac:dyDescent="0.3">
      <c r="A15" s="2" t="s">
        <v>298</v>
      </c>
      <c r="B15" s="2" t="s">
        <v>277</v>
      </c>
      <c r="C15" s="2" t="s">
        <v>364</v>
      </c>
      <c r="D15" s="2" t="s">
        <v>365</v>
      </c>
      <c r="E15" s="2"/>
    </row>
    <row r="16" spans="1:5" x14ac:dyDescent="0.3">
      <c r="A16" s="12" t="s">
        <v>336</v>
      </c>
      <c r="B16" s="12" t="s">
        <v>366</v>
      </c>
      <c r="C16" s="12" t="s">
        <v>367</v>
      </c>
      <c r="D16" s="12" t="s">
        <v>200</v>
      </c>
      <c r="E16" s="12" t="s">
        <v>368</v>
      </c>
    </row>
    <row r="17" spans="1:5" x14ac:dyDescent="0.3">
      <c r="A17" s="2" t="s">
        <v>300</v>
      </c>
      <c r="B17" s="2" t="s">
        <v>299</v>
      </c>
      <c r="C17" s="2" t="s">
        <v>369</v>
      </c>
      <c r="D17" s="2" t="s">
        <v>200</v>
      </c>
      <c r="E17" s="2"/>
    </row>
    <row r="18" spans="1:5" x14ac:dyDescent="0.3">
      <c r="A18" s="12" t="s">
        <v>339</v>
      </c>
      <c r="B18" s="12" t="s">
        <v>370</v>
      </c>
      <c r="C18" s="12" t="s">
        <v>371</v>
      </c>
      <c r="D18" s="12" t="s">
        <v>200</v>
      </c>
      <c r="E18" s="12" t="s">
        <v>372</v>
      </c>
    </row>
    <row r="19" spans="1:5" x14ac:dyDescent="0.3">
      <c r="A19" s="19"/>
      <c r="B19" s="19" t="s">
        <v>373</v>
      </c>
      <c r="C19" s="19" t="s">
        <v>374</v>
      </c>
      <c r="D19" s="19" t="s">
        <v>375</v>
      </c>
      <c r="E19" s="19"/>
    </row>
    <row r="22" spans="1:5" x14ac:dyDescent="0.3">
      <c r="A22" s="56" t="s">
        <v>376</v>
      </c>
      <c r="B22" s="37"/>
      <c r="C22" s="37"/>
      <c r="D22" s="37"/>
      <c r="E22" s="37"/>
    </row>
    <row r="25" spans="1:5" x14ac:dyDescent="0.3">
      <c r="A25" s="3" t="s">
        <v>282</v>
      </c>
      <c r="B25" s="3" t="s">
        <v>377</v>
      </c>
      <c r="C25" s="3" t="s">
        <v>378</v>
      </c>
    </row>
    <row r="26" spans="1:5" x14ac:dyDescent="0.3">
      <c r="A26" t="s">
        <v>273</v>
      </c>
      <c r="B26">
        <v>1</v>
      </c>
      <c r="C26">
        <v>4</v>
      </c>
    </row>
    <row r="27" spans="1:5" x14ac:dyDescent="0.3">
      <c r="A27" t="s">
        <v>379</v>
      </c>
      <c r="B27">
        <v>3</v>
      </c>
      <c r="C27">
        <v>3</v>
      </c>
    </row>
    <row r="28" spans="1:5" x14ac:dyDescent="0.3">
      <c r="A28" t="s">
        <v>265</v>
      </c>
      <c r="B28">
        <v>5</v>
      </c>
      <c r="C28">
        <v>3</v>
      </c>
    </row>
    <row r="29" spans="1:5" x14ac:dyDescent="0.3">
      <c r="A29" t="s">
        <v>269</v>
      </c>
      <c r="B29">
        <v>6</v>
      </c>
      <c r="C29">
        <v>4</v>
      </c>
    </row>
    <row r="30" spans="1:5" x14ac:dyDescent="0.3">
      <c r="A30" t="s">
        <v>295</v>
      </c>
      <c r="B30">
        <v>8</v>
      </c>
      <c r="C30">
        <v>3</v>
      </c>
    </row>
    <row r="31" spans="1:5" x14ac:dyDescent="0.3">
      <c r="A31" t="s">
        <v>277</v>
      </c>
      <c r="B31">
        <v>10</v>
      </c>
      <c r="C31">
        <v>2</v>
      </c>
    </row>
    <row r="32" spans="1:5" x14ac:dyDescent="0.3">
      <c r="A32" t="s">
        <v>320</v>
      </c>
      <c r="B32">
        <v>11</v>
      </c>
      <c r="C32">
        <v>2</v>
      </c>
    </row>
  </sheetData>
  <mergeCells count="3">
    <mergeCell ref="A22:E22"/>
    <mergeCell ref="A1:E1"/>
    <mergeCell ref="A3:E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Input_prompt</vt:lpstr>
      <vt:lpstr>Output_prompt</vt:lpstr>
      <vt:lpstr>0_GLOSARIO_Completo</vt:lpstr>
      <vt:lpstr>1_Panel_Control</vt:lpstr>
      <vt:lpstr>2_Matriz_Empresarial</vt:lpstr>
      <vt:lpstr>3_Inversion_IA_Practica</vt:lpstr>
      <vt:lpstr>4_Actividades_Priorizadas_old</vt:lpstr>
      <vt:lpstr>4_Actividades_Priorizadas</vt:lpstr>
      <vt:lpstr>5_Plan_Optimo_Knapsack</vt:lpstr>
      <vt:lpstr>6_Ejecucion_Temporal</vt:lpstr>
      <vt:lpstr>7_Scatter_Priorizacion</vt:lpstr>
      <vt:lpstr>8_Timeline_Doc1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Higuera Porteros</cp:lastModifiedBy>
  <dcterms:created xsi:type="dcterms:W3CDTF">2025-12-30T17:15:07Z</dcterms:created>
  <dcterms:modified xsi:type="dcterms:W3CDTF">2026-01-03T01:15:03Z</dcterms:modified>
</cp:coreProperties>
</file>